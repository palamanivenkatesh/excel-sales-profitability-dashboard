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4.xml" ContentType="application/vnd.openxmlformats-officedocument.spreadsheetml.table+xml"/>
  <Override PartName="/xl/queryTables/queryTable1.xml" ContentType="application/vnd.openxmlformats-officedocument.spreadsheetml.queryTable+xml"/>
  <Override PartName="/xl/tables/table15.xml" ContentType="application/vnd.openxmlformats-officedocument.spreadsheetml.table+xml"/>
  <Override PartName="/xl/queryTables/queryTable2.xml" ContentType="application/vnd.openxmlformats-officedocument.spreadsheetml.queryTable+xml"/>
  <Override PartName="/xl/tables/table16.xml" ContentType="application/vnd.openxmlformats-officedocument.spreadsheetml.table+xml"/>
  <Override PartName="/xl/queryTables/queryTable3.xml" ContentType="application/vnd.openxmlformats-officedocument.spreadsheetml.queryTable+xml"/>
  <Override PartName="/xl/tables/table17.xml" ContentType="application/vnd.openxmlformats-officedocument.spreadsheetml.table+xml"/>
  <Override PartName="/xl/queryTables/queryTable4.xml" ContentType="application/vnd.openxmlformats-officedocument.spreadsheetml.queryTable+xml"/>
  <Override PartName="/xl/tables/table18.xml" ContentType="application/vnd.openxmlformats-officedocument.spreadsheetml.table+xml"/>
  <Override PartName="/xl/queryTables/queryTable5.xml" ContentType="application/vnd.openxmlformats-officedocument.spreadsheetml.queryTable+xml"/>
  <Override PartName="/xl/tables/table19.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alam\Downloads\"/>
    </mc:Choice>
  </mc:AlternateContent>
  <xr:revisionPtr revIDLastSave="0" documentId="13_ncr:1_{124EDF9A-C810-486D-BA6E-465283359B22}" xr6:coauthVersionLast="47" xr6:coauthVersionMax="47" xr10:uidLastSave="{00000000-0000-0000-0000-000000000000}"/>
  <bookViews>
    <workbookView xWindow="-110" yWindow="-110" windowWidth="19420" windowHeight="10300" firstSheet="5" activeTab="10" xr2:uid="{847BA8CF-5FEB-419F-A1F3-BC966FFF3E71}"/>
  </bookViews>
  <sheets>
    <sheet name="Sales Raw Data" sheetId="1" r:id="rId1"/>
    <sheet name="Products" sheetId="2" r:id="rId2"/>
    <sheet name="Employess" sheetId="4" r:id="rId3"/>
    <sheet name="Customers" sheetId="18" r:id="rId4"/>
    <sheet name="Targets" sheetId="6" r:id="rId5"/>
    <sheet name="Returns" sheetId="7" r:id="rId6"/>
    <sheet name="Analysis" sheetId="5" r:id="rId7"/>
    <sheet name="PivotTables" sheetId="8" r:id="rId8"/>
    <sheet name="Dashboard" sheetId="15" r:id="rId9"/>
    <sheet name="Final Business Insights" sheetId="16" r:id="rId10"/>
    <sheet name="Project Documentation" sheetId="17" r:id="rId11"/>
    <sheet name="Sales Table" sheetId="9" state="hidden" r:id="rId12"/>
    <sheet name="Products (2)" sheetId="10" state="hidden" r:id="rId13"/>
    <sheet name="Customers (2)" sheetId="11" state="hidden" r:id="rId14"/>
    <sheet name="Targets (2)" sheetId="12" state="hidden" r:id="rId15"/>
    <sheet name="Returns (2)" sheetId="13" state="hidden" r:id="rId16"/>
    <sheet name="Employees" sheetId="14" state="hidden" r:id="rId17"/>
  </sheets>
  <definedNames>
    <definedName name="_xlcn.WorksheetConnection_FinalExcelproject.xlsxCustomers" hidden="1">Customers!$A$1:$E$11</definedName>
    <definedName name="_xlcn.WorksheetConnection_FinalExcelproject.xlsxEmployees" hidden="1">Employees[]</definedName>
    <definedName name="_xlcn.WorksheetConnection_FinalExcelproject.xlsxProducts" hidden="1">Products[]</definedName>
    <definedName name="_xlcn.WorksheetConnection_FinalExcelproject.xlsxReturns" hidden="1">Returns[]</definedName>
    <definedName name="_xlcn.WorksheetConnection_FinalExcelproject.xlsxSales_Table" hidden="1">Sales_Table[]</definedName>
    <definedName name="_xlcn.WorksheetConnection_FinalExcelproject.xlsxTargets" hidden="1">Targets[]</definedName>
    <definedName name="ExternalData_1" localSheetId="13" hidden="1">'Customers (2)'!$A$1:$E$11</definedName>
    <definedName name="ExternalData_1" localSheetId="16" hidden="1">Employees!$A$1:$D$7</definedName>
    <definedName name="ExternalData_1" localSheetId="12" hidden="1">'Products (2)'!$A$1:$F$7</definedName>
    <definedName name="ExternalData_1" localSheetId="15" hidden="1">'Returns (2)'!$A$1:$E$7</definedName>
    <definedName name="ExternalData_1" localSheetId="11" hidden="1">'Sales Table'!$A$1:$Z$121</definedName>
    <definedName name="ExternalData_1" localSheetId="14" hidden="1">'Targets (2)'!$A$1:$C$37</definedName>
    <definedName name="Slicer_Region">#N/A</definedName>
    <definedName name="Timeline_Order_Date">#N/A</definedName>
  </definedNames>
  <calcPr calcId="191029"/>
  <pivotCaches>
    <pivotCache cacheId="0" r:id="rId18"/>
    <pivotCache cacheId="1" r:id="rId19"/>
    <pivotCache cacheId="2" r:id="rId20"/>
    <pivotCache cacheId="3" r:id="rId21"/>
    <pivotCache cacheId="4" r:id="rId22"/>
  </pivotCaches>
  <extLst>
    <ext xmlns:x14="http://schemas.microsoft.com/office/spreadsheetml/2009/9/main" uri="{876F7934-8845-4945-9796-88D515C7AA90}">
      <x14:pivotCaches>
        <pivotCache cacheId="5"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rgets" name="Targets" connection="WorksheetConnection_Final Excel project.xlsx!Targets"/>
          <x15:modelTable id="Sales_Table" name="Sales_Table" connection="WorksheetConnection_Final Excel project.xlsx!Sales_Table"/>
          <x15:modelTable id="Returns" name="Returns" connection="WorksheetConnection_Final Excel project.xlsx!Returns"/>
          <x15:modelTable id="Products" name="Products" connection="WorksheetConnection_Final Excel project.xlsx!Products"/>
          <x15:modelTable id="Employees" name="Employees" connection="WorksheetConnection_Final Excel project.xlsx!Employees"/>
          <x15:modelTable id="Customers" name="Customers" connection="WorksheetConnection_Final Excel project.xlsx!Customers"/>
        </x15:modelTables>
        <x15:modelRelationships>
          <x15:modelRelationship fromTable="Sales_Table" fromColumn="Product ID" toTable="Products" toColumn="Product ID"/>
          <x15:modelRelationship fromTable="Sales_Table" fromColumn="Employee ID" toTable="Employees" toColumn="Employee ID"/>
          <x15:modelRelationship fromTable="Sales_Table" fromColumn="Customer Name" toTable="Customers" toColumn="Customer Name"/>
          <x15:modelRelationship fromTable="Sales_Table" fromColumn="Order ID" toTable="Returns" toColumn="Order ID"/>
        </x15:modelRelationships>
        <x15:extLst>
          <ext xmlns:x16="http://schemas.microsoft.com/office/spreadsheetml/2014/11/main" uri="{9835A34E-60A6-4A7C-AAB8-D5F71C897F49}">
            <x16:modelTimeGroupings>
              <x16:modelTimeGrouping tableName="Sales_Table"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U4" i="5"/>
  <c r="V4" i="5"/>
  <c r="W4" i="5"/>
  <c r="X4" i="5"/>
  <c r="Y4" i="5"/>
  <c r="Z4" i="5"/>
  <c r="U5" i="5"/>
  <c r="V5" i="5"/>
  <c r="W5" i="5"/>
  <c r="X5" i="5"/>
  <c r="Y5" i="5"/>
  <c r="Z5" i="5"/>
  <c r="U6" i="5"/>
  <c r="V6" i="5"/>
  <c r="W6" i="5"/>
  <c r="X6" i="5"/>
  <c r="Y6" i="5"/>
  <c r="Z6" i="5"/>
  <c r="U7" i="5"/>
  <c r="V7" i="5"/>
  <c r="W7" i="5"/>
  <c r="X7" i="5"/>
  <c r="Y7" i="5"/>
  <c r="Z7" i="5"/>
  <c r="U8" i="5"/>
  <c r="V8" i="5"/>
  <c r="W8" i="5"/>
  <c r="X8" i="5"/>
  <c r="Y8" i="5"/>
  <c r="Z8" i="5"/>
  <c r="U9" i="5"/>
  <c r="V9" i="5"/>
  <c r="W9" i="5"/>
  <c r="X9" i="5"/>
  <c r="Y9" i="5"/>
  <c r="Z9" i="5"/>
  <c r="U10" i="5"/>
  <c r="V10" i="5"/>
  <c r="W10" i="5"/>
  <c r="X10" i="5"/>
  <c r="Y10" i="5"/>
  <c r="Z10" i="5"/>
  <c r="U11" i="5"/>
  <c r="V11" i="5"/>
  <c r="W11" i="5"/>
  <c r="X11" i="5"/>
  <c r="Y11" i="5"/>
  <c r="Z11" i="5"/>
  <c r="U12" i="5"/>
  <c r="V12" i="5"/>
  <c r="W12" i="5"/>
  <c r="X12" i="5"/>
  <c r="Y12" i="5"/>
  <c r="Z12" i="5"/>
  <c r="U13" i="5"/>
  <c r="V13" i="5"/>
  <c r="W13" i="5"/>
  <c r="X13" i="5"/>
  <c r="Y13" i="5"/>
  <c r="Z13" i="5"/>
  <c r="U14" i="5"/>
  <c r="V14" i="5"/>
  <c r="W14" i="5"/>
  <c r="X14" i="5"/>
  <c r="Y14" i="5"/>
  <c r="Z14" i="5"/>
  <c r="U15" i="5"/>
  <c r="V15" i="5"/>
  <c r="W15" i="5"/>
  <c r="X15" i="5"/>
  <c r="Y15" i="5"/>
  <c r="Z15" i="5"/>
  <c r="AE12" i="5" a="1"/>
  <c r="AE12" i="5" s="1"/>
  <c r="AI22" i="5" l="1"/>
  <c r="AI14" i="5"/>
  <c r="AH14" i="5"/>
  <c r="AG22" i="5"/>
  <c r="AG20" i="5"/>
  <c r="AG18" i="5"/>
  <c r="AG16" i="5"/>
  <c r="AG14" i="5"/>
  <c r="AI20" i="5"/>
  <c r="AH20" i="5"/>
  <c r="AF22" i="5"/>
  <c r="AF20" i="5"/>
  <c r="AF18" i="5"/>
  <c r="AF16" i="5"/>
  <c r="AF14" i="5"/>
  <c r="AI18" i="5"/>
  <c r="AH22" i="5"/>
  <c r="AH18" i="5"/>
  <c r="AI23" i="5"/>
  <c r="AI21" i="5"/>
  <c r="AI19" i="5"/>
  <c r="AI17" i="5"/>
  <c r="AI15" i="5"/>
  <c r="AI13" i="5"/>
  <c r="AI16" i="5"/>
  <c r="AH16" i="5"/>
  <c r="AH23" i="5"/>
  <c r="AH21" i="5"/>
  <c r="AH19" i="5"/>
  <c r="AH17" i="5"/>
  <c r="AH15" i="5"/>
  <c r="AH13" i="5"/>
  <c r="AG17" i="5"/>
  <c r="AG15" i="5"/>
  <c r="AG13" i="5"/>
  <c r="AG23" i="5"/>
  <c r="AG21" i="5"/>
  <c r="AG19" i="5"/>
  <c r="AF23" i="5"/>
  <c r="AF21" i="5"/>
  <c r="AJ21" i="5" s="1"/>
  <c r="AF19" i="5"/>
  <c r="AF17" i="5"/>
  <c r="AJ18" i="5" s="1"/>
  <c r="AF15" i="5"/>
  <c r="AJ16" i="5" s="1"/>
  <c r="AF13" i="5"/>
  <c r="AJ23" i="5"/>
  <c r="AF12" i="5"/>
  <c r="AG12" i="5"/>
  <c r="AH12" i="5"/>
  <c r="AI12" i="5"/>
  <c r="AJ15" i="5"/>
  <c r="AJ14" i="5" l="1"/>
  <c r="AJ13" i="5"/>
  <c r="AJ17" i="5"/>
  <c r="AJ19" i="5"/>
  <c r="AJ20" i="5"/>
  <c r="AJ22" i="5"/>
  <c r="AO14" i="5" l="1" a="1"/>
  <c r="AO14" i="5" s="1"/>
  <c r="AP13" i="5" a="1"/>
  <c r="AP13" i="5" s="1"/>
  <c r="AO12" i="5"/>
  <c r="AO11" i="5"/>
  <c r="AP10" i="5"/>
  <c r="AO10" i="5"/>
  <c r="AJ6" i="5"/>
  <c r="AJ5" i="5"/>
  <c r="AJ4" i="5"/>
  <c r="AE5" i="5"/>
  <c r="AE6" i="5"/>
  <c r="AE7" i="5"/>
  <c r="AE4" i="5"/>
  <c r="AD5" i="5"/>
  <c r="AD6" i="5"/>
  <c r="AD7" i="5"/>
  <c r="AD4" i="5"/>
  <c r="P5" i="5"/>
  <c r="P6" i="5"/>
  <c r="P7" i="5"/>
  <c r="P8" i="5"/>
  <c r="P9" i="5"/>
  <c r="P4" i="5"/>
  <c r="J5" i="5"/>
  <c r="J6" i="5"/>
  <c r="J7" i="5"/>
  <c r="J8" i="5"/>
  <c r="J9" i="5"/>
  <c r="J4" i="5"/>
  <c r="B7" i="5"/>
  <c r="B6" i="5"/>
  <c r="B5" i="5"/>
  <c r="B4" i="5"/>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W2" i="1"/>
  <c r="W3" i="1"/>
  <c r="W4" i="1"/>
  <c r="W5" i="1"/>
  <c r="W6" i="1"/>
  <c r="W7" i="1"/>
  <c r="W8" i="1"/>
  <c r="W9" i="1"/>
  <c r="W10" i="1"/>
  <c r="W11" i="1"/>
  <c r="W12" i="1"/>
  <c r="W13" i="1"/>
  <c r="W14" i="1"/>
  <c r="W15" i="1"/>
  <c r="W16" i="1"/>
  <c r="W17" i="1"/>
  <c r="X17" i="1" s="1"/>
  <c r="W18" i="1"/>
  <c r="W19" i="1"/>
  <c r="W20" i="1"/>
  <c r="W21" i="1"/>
  <c r="W22" i="1"/>
  <c r="W23" i="1"/>
  <c r="W24" i="1"/>
  <c r="W25" i="1"/>
  <c r="X25" i="1" s="1"/>
  <c r="W26" i="1"/>
  <c r="W27" i="1"/>
  <c r="W28" i="1"/>
  <c r="W29" i="1"/>
  <c r="W30" i="1"/>
  <c r="W31" i="1"/>
  <c r="W32" i="1"/>
  <c r="W33" i="1"/>
  <c r="X33" i="1" s="1"/>
  <c r="W34" i="1"/>
  <c r="W35" i="1"/>
  <c r="W36" i="1"/>
  <c r="W37" i="1"/>
  <c r="W38" i="1"/>
  <c r="W39" i="1"/>
  <c r="W40" i="1"/>
  <c r="X40" i="1" s="1"/>
  <c r="W41" i="1"/>
  <c r="X41" i="1" s="1"/>
  <c r="W42" i="1"/>
  <c r="W43" i="1"/>
  <c r="W44" i="1"/>
  <c r="W45" i="1"/>
  <c r="W46" i="1"/>
  <c r="W47" i="1"/>
  <c r="W48" i="1"/>
  <c r="X48" i="1" s="1"/>
  <c r="W49" i="1"/>
  <c r="X49" i="1" s="1"/>
  <c r="W50" i="1"/>
  <c r="W51" i="1"/>
  <c r="W52" i="1"/>
  <c r="W53" i="1"/>
  <c r="W54" i="1"/>
  <c r="W55" i="1"/>
  <c r="W56" i="1"/>
  <c r="X56" i="1" s="1"/>
  <c r="W57" i="1"/>
  <c r="X57" i="1" s="1"/>
  <c r="W58" i="1"/>
  <c r="W59" i="1"/>
  <c r="W60" i="1"/>
  <c r="W61" i="1"/>
  <c r="W62" i="1"/>
  <c r="W63" i="1"/>
  <c r="W64" i="1"/>
  <c r="X64" i="1" s="1"/>
  <c r="W65" i="1"/>
  <c r="X65" i="1" s="1"/>
  <c r="W66" i="1"/>
  <c r="W67" i="1"/>
  <c r="W68" i="1"/>
  <c r="W69" i="1"/>
  <c r="W70" i="1"/>
  <c r="W71" i="1"/>
  <c r="W72" i="1"/>
  <c r="X72" i="1" s="1"/>
  <c r="W73" i="1"/>
  <c r="X73" i="1" s="1"/>
  <c r="W74" i="1"/>
  <c r="W75" i="1"/>
  <c r="W76" i="1"/>
  <c r="W77" i="1"/>
  <c r="W78" i="1"/>
  <c r="W79" i="1"/>
  <c r="W80" i="1"/>
  <c r="X80" i="1" s="1"/>
  <c r="W81" i="1"/>
  <c r="X81" i="1" s="1"/>
  <c r="W82" i="1"/>
  <c r="W83" i="1"/>
  <c r="W84" i="1"/>
  <c r="W85" i="1"/>
  <c r="W86" i="1"/>
  <c r="W87" i="1"/>
  <c r="W88" i="1"/>
  <c r="X88" i="1" s="1"/>
  <c r="W89" i="1"/>
  <c r="X89" i="1" s="1"/>
  <c r="W90" i="1"/>
  <c r="W91" i="1"/>
  <c r="W92" i="1"/>
  <c r="W93" i="1"/>
  <c r="W94" i="1"/>
  <c r="W95" i="1"/>
  <c r="W96" i="1"/>
  <c r="X96" i="1" s="1"/>
  <c r="W97" i="1"/>
  <c r="X97" i="1" s="1"/>
  <c r="W98" i="1"/>
  <c r="W99" i="1"/>
  <c r="W100" i="1"/>
  <c r="W101" i="1"/>
  <c r="W102" i="1"/>
  <c r="W103" i="1"/>
  <c r="W104" i="1"/>
  <c r="X104" i="1" s="1"/>
  <c r="W105" i="1"/>
  <c r="X105" i="1" s="1"/>
  <c r="W106" i="1"/>
  <c r="W107" i="1"/>
  <c r="W108" i="1"/>
  <c r="W109" i="1"/>
  <c r="W110" i="1"/>
  <c r="W111" i="1"/>
  <c r="W112" i="1"/>
  <c r="X112" i="1" s="1"/>
  <c r="W113" i="1"/>
  <c r="X113" i="1" s="1"/>
  <c r="W114" i="1"/>
  <c r="W115" i="1"/>
  <c r="W116" i="1"/>
  <c r="W117" i="1"/>
  <c r="W118" i="1"/>
  <c r="W119" i="1"/>
  <c r="W120" i="1"/>
  <c r="X120" i="1" s="1"/>
  <c r="W121" i="1"/>
  <c r="X121" i="1" s="1"/>
  <c r="U2" i="1"/>
  <c r="V2" i="1" s="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O2" i="1"/>
  <c r="P2" i="1" s="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B15" i="16" l="1"/>
  <c r="AQ10" i="5" a="1"/>
  <c r="AQ10" i="5" s="1"/>
  <c r="AF6" i="5"/>
  <c r="AG6" i="5" s="1"/>
  <c r="AF7" i="5"/>
  <c r="AG7" i="5" s="1"/>
  <c r="AF5" i="5"/>
  <c r="AG5" i="5" s="1"/>
  <c r="AF4" i="5"/>
  <c r="AG4" i="5" s="1"/>
  <c r="AJ7" i="5"/>
  <c r="X119" i="1"/>
  <c r="X111" i="1"/>
  <c r="X103" i="1"/>
  <c r="X95" i="1"/>
  <c r="X87" i="1"/>
  <c r="X79" i="1"/>
  <c r="X71" i="1"/>
  <c r="X63" i="1"/>
  <c r="X55" i="1"/>
  <c r="X47" i="1"/>
  <c r="X39" i="1"/>
  <c r="X31" i="1"/>
  <c r="X23" i="1"/>
  <c r="X15" i="1"/>
  <c r="X102" i="1"/>
  <c r="X78" i="1"/>
  <c r="X46" i="1"/>
  <c r="X117" i="1"/>
  <c r="X109" i="1"/>
  <c r="X101" i="1"/>
  <c r="X93" i="1"/>
  <c r="X85" i="1"/>
  <c r="X77" i="1"/>
  <c r="X69" i="1"/>
  <c r="X61" i="1"/>
  <c r="X53" i="1"/>
  <c r="X45" i="1"/>
  <c r="X37" i="1"/>
  <c r="X29" i="1"/>
  <c r="X21" i="1"/>
  <c r="X94" i="1"/>
  <c r="X62" i="1"/>
  <c r="X116" i="1"/>
  <c r="X108" i="1"/>
  <c r="X100" i="1"/>
  <c r="X92" i="1"/>
  <c r="X84" i="1"/>
  <c r="X76" i="1"/>
  <c r="X68" i="1"/>
  <c r="X60" i="1"/>
  <c r="X52" i="1"/>
  <c r="X44" i="1"/>
  <c r="X36" i="1"/>
  <c r="X28" i="1"/>
  <c r="X20" i="1"/>
  <c r="X118" i="1"/>
  <c r="X86" i="1"/>
  <c r="X54" i="1"/>
  <c r="X115" i="1"/>
  <c r="X107" i="1"/>
  <c r="X99" i="1"/>
  <c r="X91" i="1"/>
  <c r="X83" i="1"/>
  <c r="X75" i="1"/>
  <c r="X67" i="1"/>
  <c r="X59" i="1"/>
  <c r="X51" i="1"/>
  <c r="X43" i="1"/>
  <c r="X35" i="1"/>
  <c r="X27" i="1"/>
  <c r="X19" i="1"/>
  <c r="X110" i="1"/>
  <c r="X70" i="1"/>
  <c r="X114" i="1"/>
  <c r="X106" i="1"/>
  <c r="X98" i="1"/>
  <c r="X90" i="1"/>
  <c r="X82" i="1"/>
  <c r="X74" i="1"/>
  <c r="X66" i="1"/>
  <c r="X58" i="1"/>
  <c r="X50" i="1"/>
  <c r="X42" i="1"/>
  <c r="X38" i="1"/>
  <c r="X12" i="1"/>
  <c r="X11" i="1"/>
  <c r="X34" i="1"/>
  <c r="S5" i="5"/>
  <c r="B10" i="5"/>
  <c r="X26" i="1"/>
  <c r="X18" i="1"/>
  <c r="M4" i="5"/>
  <c r="S4" i="5"/>
  <c r="M9" i="5"/>
  <c r="S9" i="5"/>
  <c r="X32" i="1"/>
  <c r="X24" i="1"/>
  <c r="X16" i="1"/>
  <c r="X8" i="1"/>
  <c r="M8" i="5"/>
  <c r="S8" i="5"/>
  <c r="M7" i="5"/>
  <c r="S7" i="5"/>
  <c r="X30" i="1"/>
  <c r="X22" i="1"/>
  <c r="X14" i="1"/>
  <c r="X6" i="1"/>
  <c r="M6" i="5"/>
  <c r="S6" i="5"/>
  <c r="B8" i="5"/>
  <c r="M5" i="5"/>
  <c r="X13" i="1"/>
  <c r="X4" i="1"/>
  <c r="X3" i="1"/>
  <c r="X10" i="1"/>
  <c r="X5" i="1"/>
  <c r="X2" i="1"/>
  <c r="X9" i="1"/>
  <c r="X7" i="1"/>
  <c r="Q97" i="1"/>
  <c r="S97" i="1" s="1"/>
  <c r="T97" i="1" s="1"/>
  <c r="Q49" i="1"/>
  <c r="S49" i="1" s="1"/>
  <c r="T49" i="1" s="1"/>
  <c r="Q120" i="1"/>
  <c r="S120" i="1" s="1"/>
  <c r="T120" i="1" s="1"/>
  <c r="Q112" i="1"/>
  <c r="S112" i="1" s="1"/>
  <c r="T112" i="1" s="1"/>
  <c r="Q104" i="1"/>
  <c r="S104" i="1" s="1"/>
  <c r="T104" i="1" s="1"/>
  <c r="Q96" i="1"/>
  <c r="S96" i="1" s="1"/>
  <c r="T96" i="1" s="1"/>
  <c r="Q88" i="1"/>
  <c r="S88" i="1" s="1"/>
  <c r="T88" i="1" s="1"/>
  <c r="Q80" i="1"/>
  <c r="S80" i="1" s="1"/>
  <c r="T80" i="1" s="1"/>
  <c r="Q72" i="1"/>
  <c r="S72" i="1" s="1"/>
  <c r="T72" i="1" s="1"/>
  <c r="Q64" i="1"/>
  <c r="S64" i="1" s="1"/>
  <c r="T64" i="1" s="1"/>
  <c r="Q56" i="1"/>
  <c r="S56" i="1" s="1"/>
  <c r="T56" i="1" s="1"/>
  <c r="Q48" i="1"/>
  <c r="S48" i="1" s="1"/>
  <c r="T48" i="1" s="1"/>
  <c r="Q40" i="1"/>
  <c r="S40" i="1" s="1"/>
  <c r="T40" i="1" s="1"/>
  <c r="Q32" i="1"/>
  <c r="S32" i="1" s="1"/>
  <c r="T32" i="1" s="1"/>
  <c r="Q24" i="1"/>
  <c r="S24" i="1" s="1"/>
  <c r="T24" i="1" s="1"/>
  <c r="Q16" i="1"/>
  <c r="S16" i="1" s="1"/>
  <c r="T16" i="1" s="1"/>
  <c r="Q8" i="1"/>
  <c r="S8" i="1" s="1"/>
  <c r="T8" i="1" s="1"/>
  <c r="Q81" i="1"/>
  <c r="S81" i="1" s="1"/>
  <c r="T81" i="1" s="1"/>
  <c r="Q73" i="1"/>
  <c r="S73" i="1" s="1"/>
  <c r="T73" i="1" s="1"/>
  <c r="Q33" i="1"/>
  <c r="S33" i="1" s="1"/>
  <c r="T33" i="1" s="1"/>
  <c r="Q119" i="1"/>
  <c r="S119" i="1" s="1"/>
  <c r="T119" i="1" s="1"/>
  <c r="Q111" i="1"/>
  <c r="S111" i="1" s="1"/>
  <c r="T111" i="1" s="1"/>
  <c r="Q103" i="1"/>
  <c r="S103" i="1" s="1"/>
  <c r="T103" i="1" s="1"/>
  <c r="Q95" i="1"/>
  <c r="S95" i="1" s="1"/>
  <c r="T95" i="1" s="1"/>
  <c r="Q87" i="1"/>
  <c r="S87" i="1" s="1"/>
  <c r="T87" i="1" s="1"/>
  <c r="Q79" i="1"/>
  <c r="S79" i="1" s="1"/>
  <c r="T79" i="1" s="1"/>
  <c r="Q71" i="1"/>
  <c r="S71" i="1" s="1"/>
  <c r="T71" i="1" s="1"/>
  <c r="Q63" i="1"/>
  <c r="S63" i="1" s="1"/>
  <c r="T63" i="1" s="1"/>
  <c r="Q55" i="1"/>
  <c r="S55" i="1" s="1"/>
  <c r="T55" i="1" s="1"/>
  <c r="Q47" i="1"/>
  <c r="S47" i="1" s="1"/>
  <c r="T47" i="1" s="1"/>
  <c r="Q39" i="1"/>
  <c r="S39" i="1" s="1"/>
  <c r="T39" i="1" s="1"/>
  <c r="Q31" i="1"/>
  <c r="S31" i="1" s="1"/>
  <c r="T31" i="1" s="1"/>
  <c r="Q23" i="1"/>
  <c r="S23" i="1" s="1"/>
  <c r="T23" i="1" s="1"/>
  <c r="Q15" i="1"/>
  <c r="S15" i="1" s="1"/>
  <c r="T15" i="1" s="1"/>
  <c r="Q7" i="1"/>
  <c r="S7" i="1" s="1"/>
  <c r="T7" i="1" s="1"/>
  <c r="Q121" i="1"/>
  <c r="S121" i="1" s="1"/>
  <c r="T121" i="1" s="1"/>
  <c r="Q57" i="1"/>
  <c r="S57" i="1" s="1"/>
  <c r="T57" i="1" s="1"/>
  <c r="Q118" i="1"/>
  <c r="S118" i="1" s="1"/>
  <c r="T118" i="1" s="1"/>
  <c r="Q110" i="1"/>
  <c r="S110" i="1" s="1"/>
  <c r="T110" i="1" s="1"/>
  <c r="Q102" i="1"/>
  <c r="S102" i="1" s="1"/>
  <c r="T102" i="1" s="1"/>
  <c r="Q94" i="1"/>
  <c r="S94" i="1" s="1"/>
  <c r="T94" i="1" s="1"/>
  <c r="Q86" i="1"/>
  <c r="S86" i="1" s="1"/>
  <c r="T86" i="1" s="1"/>
  <c r="Q78" i="1"/>
  <c r="S78" i="1" s="1"/>
  <c r="T78" i="1" s="1"/>
  <c r="Q70" i="1"/>
  <c r="S70" i="1" s="1"/>
  <c r="T70" i="1" s="1"/>
  <c r="Q62" i="1"/>
  <c r="S62" i="1" s="1"/>
  <c r="T62" i="1" s="1"/>
  <c r="Q54" i="1"/>
  <c r="S54" i="1" s="1"/>
  <c r="T54" i="1" s="1"/>
  <c r="Q46" i="1"/>
  <c r="S46" i="1" s="1"/>
  <c r="T46" i="1" s="1"/>
  <c r="Q38" i="1"/>
  <c r="S38" i="1" s="1"/>
  <c r="T38" i="1" s="1"/>
  <c r="Q30" i="1"/>
  <c r="S30" i="1" s="1"/>
  <c r="T30" i="1" s="1"/>
  <c r="Q22" i="1"/>
  <c r="S22" i="1" s="1"/>
  <c r="T22" i="1" s="1"/>
  <c r="Q14" i="1"/>
  <c r="S14" i="1" s="1"/>
  <c r="T14" i="1" s="1"/>
  <c r="Q6" i="1"/>
  <c r="S6" i="1" s="1"/>
  <c r="T6" i="1" s="1"/>
  <c r="Q25" i="1"/>
  <c r="S25" i="1" s="1"/>
  <c r="T25" i="1" s="1"/>
  <c r="Q117" i="1"/>
  <c r="S117" i="1" s="1"/>
  <c r="T117" i="1" s="1"/>
  <c r="Q109" i="1"/>
  <c r="S109" i="1" s="1"/>
  <c r="T109" i="1" s="1"/>
  <c r="Q101" i="1"/>
  <c r="S101" i="1" s="1"/>
  <c r="T101" i="1" s="1"/>
  <c r="Q93" i="1"/>
  <c r="S93" i="1" s="1"/>
  <c r="T93" i="1" s="1"/>
  <c r="Q85" i="1"/>
  <c r="S85" i="1" s="1"/>
  <c r="T85" i="1" s="1"/>
  <c r="Q77" i="1"/>
  <c r="S77" i="1" s="1"/>
  <c r="T77" i="1" s="1"/>
  <c r="Q69" i="1"/>
  <c r="S69" i="1" s="1"/>
  <c r="T69" i="1" s="1"/>
  <c r="Q61" i="1"/>
  <c r="S61" i="1" s="1"/>
  <c r="T61" i="1" s="1"/>
  <c r="Q53" i="1"/>
  <c r="S53" i="1" s="1"/>
  <c r="T53" i="1" s="1"/>
  <c r="Q45" i="1"/>
  <c r="S45" i="1" s="1"/>
  <c r="T45" i="1" s="1"/>
  <c r="Q37" i="1"/>
  <c r="S37" i="1" s="1"/>
  <c r="T37" i="1" s="1"/>
  <c r="Q29" i="1"/>
  <c r="S29" i="1" s="1"/>
  <c r="T29" i="1" s="1"/>
  <c r="Q21" i="1"/>
  <c r="S21" i="1" s="1"/>
  <c r="T21" i="1" s="1"/>
  <c r="Q13" i="1"/>
  <c r="S13" i="1" s="1"/>
  <c r="T13" i="1" s="1"/>
  <c r="Q5" i="1"/>
  <c r="Q105" i="1"/>
  <c r="S105" i="1" s="1"/>
  <c r="T105" i="1" s="1"/>
  <c r="Q9" i="1"/>
  <c r="S9" i="1" s="1"/>
  <c r="T9" i="1" s="1"/>
  <c r="Q116" i="1"/>
  <c r="S116" i="1" s="1"/>
  <c r="T116" i="1" s="1"/>
  <c r="Q108" i="1"/>
  <c r="S108" i="1" s="1"/>
  <c r="T108" i="1" s="1"/>
  <c r="Q100" i="1"/>
  <c r="S100" i="1" s="1"/>
  <c r="T100" i="1" s="1"/>
  <c r="Q92" i="1"/>
  <c r="S92" i="1" s="1"/>
  <c r="T92" i="1" s="1"/>
  <c r="Q84" i="1"/>
  <c r="S84" i="1" s="1"/>
  <c r="T84" i="1" s="1"/>
  <c r="Q76" i="1"/>
  <c r="S76" i="1" s="1"/>
  <c r="T76" i="1" s="1"/>
  <c r="Q68" i="1"/>
  <c r="S68" i="1" s="1"/>
  <c r="T68" i="1" s="1"/>
  <c r="Q60" i="1"/>
  <c r="S60" i="1" s="1"/>
  <c r="T60" i="1" s="1"/>
  <c r="Q52" i="1"/>
  <c r="S52" i="1" s="1"/>
  <c r="T52" i="1" s="1"/>
  <c r="Q44" i="1"/>
  <c r="S44" i="1" s="1"/>
  <c r="T44" i="1" s="1"/>
  <c r="Q36" i="1"/>
  <c r="S36" i="1" s="1"/>
  <c r="T36" i="1" s="1"/>
  <c r="Q28" i="1"/>
  <c r="S28" i="1" s="1"/>
  <c r="T28" i="1" s="1"/>
  <c r="Q20" i="1"/>
  <c r="S20" i="1" s="1"/>
  <c r="T20" i="1" s="1"/>
  <c r="Q12" i="1"/>
  <c r="S12" i="1" s="1"/>
  <c r="T12" i="1" s="1"/>
  <c r="Q4" i="1"/>
  <c r="Q89" i="1"/>
  <c r="S89" i="1" s="1"/>
  <c r="T89" i="1" s="1"/>
  <c r="Q65" i="1"/>
  <c r="S65" i="1" s="1"/>
  <c r="T65" i="1" s="1"/>
  <c r="Q17" i="1"/>
  <c r="S17" i="1" s="1"/>
  <c r="T17" i="1" s="1"/>
  <c r="Q115" i="1"/>
  <c r="S115" i="1" s="1"/>
  <c r="T115" i="1" s="1"/>
  <c r="Q107" i="1"/>
  <c r="S107" i="1" s="1"/>
  <c r="T107" i="1" s="1"/>
  <c r="Q99" i="1"/>
  <c r="S99" i="1" s="1"/>
  <c r="T99" i="1" s="1"/>
  <c r="Q91" i="1"/>
  <c r="S91" i="1" s="1"/>
  <c r="T91" i="1" s="1"/>
  <c r="Q83" i="1"/>
  <c r="S83" i="1" s="1"/>
  <c r="T83" i="1" s="1"/>
  <c r="Q75" i="1"/>
  <c r="S75" i="1" s="1"/>
  <c r="T75" i="1" s="1"/>
  <c r="Q67" i="1"/>
  <c r="S67" i="1" s="1"/>
  <c r="T67" i="1" s="1"/>
  <c r="Q59" i="1"/>
  <c r="S59" i="1" s="1"/>
  <c r="T59" i="1" s="1"/>
  <c r="Q51" i="1"/>
  <c r="S51" i="1" s="1"/>
  <c r="T51" i="1" s="1"/>
  <c r="Q43" i="1"/>
  <c r="S43" i="1" s="1"/>
  <c r="T43" i="1" s="1"/>
  <c r="Q35" i="1"/>
  <c r="S35" i="1" s="1"/>
  <c r="T35" i="1" s="1"/>
  <c r="Q27" i="1"/>
  <c r="S27" i="1" s="1"/>
  <c r="T27" i="1" s="1"/>
  <c r="Q19" i="1"/>
  <c r="S19" i="1" s="1"/>
  <c r="T19" i="1" s="1"/>
  <c r="Q11" i="1"/>
  <c r="S11" i="1" s="1"/>
  <c r="T11" i="1" s="1"/>
  <c r="Q3" i="1"/>
  <c r="Q113" i="1"/>
  <c r="S113" i="1" s="1"/>
  <c r="T113" i="1" s="1"/>
  <c r="Q41" i="1"/>
  <c r="S41" i="1" s="1"/>
  <c r="T41" i="1" s="1"/>
  <c r="Q114" i="1"/>
  <c r="S114" i="1" s="1"/>
  <c r="T114" i="1" s="1"/>
  <c r="Q106" i="1"/>
  <c r="S106" i="1" s="1"/>
  <c r="T106" i="1" s="1"/>
  <c r="Q98" i="1"/>
  <c r="S98" i="1" s="1"/>
  <c r="T98" i="1" s="1"/>
  <c r="Q90" i="1"/>
  <c r="S90" i="1" s="1"/>
  <c r="T90" i="1" s="1"/>
  <c r="Q82" i="1"/>
  <c r="S82" i="1" s="1"/>
  <c r="T82" i="1" s="1"/>
  <c r="Q74" i="1"/>
  <c r="S74" i="1" s="1"/>
  <c r="T74" i="1" s="1"/>
  <c r="Q66" i="1"/>
  <c r="S66" i="1" s="1"/>
  <c r="T66" i="1" s="1"/>
  <c r="Q58" i="1"/>
  <c r="S58" i="1" s="1"/>
  <c r="T58" i="1" s="1"/>
  <c r="Q50" i="1"/>
  <c r="S50" i="1" s="1"/>
  <c r="T50" i="1" s="1"/>
  <c r="Q42" i="1"/>
  <c r="S42" i="1" s="1"/>
  <c r="T42" i="1" s="1"/>
  <c r="Q34" i="1"/>
  <c r="S34" i="1" s="1"/>
  <c r="T34" i="1" s="1"/>
  <c r="Q26" i="1"/>
  <c r="S26" i="1" s="1"/>
  <c r="T26" i="1" s="1"/>
  <c r="Q18" i="1"/>
  <c r="S18" i="1" s="1"/>
  <c r="T18" i="1" s="1"/>
  <c r="Q10" i="1"/>
  <c r="S10" i="1" s="1"/>
  <c r="T10" i="1" s="1"/>
  <c r="Q2" i="1"/>
  <c r="AO6" i="5" l="1"/>
  <c r="B9" i="16" s="1"/>
  <c r="Q4" i="5"/>
  <c r="K6" i="5"/>
  <c r="K9" i="5"/>
  <c r="K8" i="5"/>
  <c r="S3" i="1"/>
  <c r="E5" i="5"/>
  <c r="R8" i="5"/>
  <c r="R9" i="5"/>
  <c r="S5" i="1"/>
  <c r="E7" i="5"/>
  <c r="L8" i="5"/>
  <c r="S2" i="1"/>
  <c r="E4" i="5"/>
  <c r="B6" i="16" s="1"/>
  <c r="S4" i="1"/>
  <c r="E6" i="5"/>
  <c r="K4" i="5"/>
  <c r="L9" i="5"/>
  <c r="Q5" i="5"/>
  <c r="Q7" i="5"/>
  <c r="Q8" i="5"/>
  <c r="Q9" i="5"/>
  <c r="K5" i="5"/>
  <c r="Q6" i="5"/>
  <c r="K7" i="5"/>
  <c r="B9" i="5"/>
  <c r="AO8" i="5" l="1"/>
  <c r="AO4" i="5"/>
  <c r="T5" i="1"/>
  <c r="F7" i="5"/>
  <c r="G7" i="5" s="1"/>
  <c r="L7" i="5"/>
  <c r="R7" i="5"/>
  <c r="T4" i="1"/>
  <c r="F6" i="5"/>
  <c r="G6" i="5" s="1"/>
  <c r="L6" i="5"/>
  <c r="R6" i="5"/>
  <c r="T3" i="1"/>
  <c r="F5" i="5"/>
  <c r="G5" i="5" s="1"/>
  <c r="L5" i="5"/>
  <c r="R5" i="5"/>
  <c r="T2" i="1"/>
  <c r="F4" i="5"/>
  <c r="G4" i="5" s="1"/>
  <c r="L4" i="5"/>
  <c r="R4" i="5"/>
  <c r="B11" i="5"/>
  <c r="B12" i="5" s="1"/>
  <c r="B12" i="16" s="1"/>
  <c r="B3" i="16" l="1"/>
  <c r="AO9" i="5"/>
  <c r="AO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8C6AD6-0B38-4FA8-ADFE-4B83094003D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E6400B0C-6F66-4ED0-9066-CB73188682C6}"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5972523D-4BED-4AF0-AF76-95B742B6F14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DC16503A-D706-44EC-8618-16F325E047AF}"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5" xr16:uid="{E1B09972-DB5C-4D4A-AE69-F245D79413B0}" keepAlive="1" name="Query - Sales_Table" description="Connection to the 'Sales_Table' query in the workbook." type="5" refreshedVersion="8" background="1" saveData="1">
    <dbPr connection="Provider=Microsoft.Mashup.OleDb.1;Data Source=$Workbook$;Location=Sales_Table;Extended Properties=&quot;&quot;" command="SELECT * FROM [Sales_Table]"/>
  </connection>
  <connection id="6" xr16:uid="{C49257E9-2F1F-4958-B5D8-C187B9A3E144}" keepAlive="1" name="Query - Targets" description="Connection to the 'Targets' query in the workbook." type="5" refreshedVersion="8" background="1" saveData="1">
    <dbPr connection="Provider=Microsoft.Mashup.OleDb.1;Data Source=$Workbook$;Location=Targets;Extended Properties=&quot;&quot;" command="SELECT * FROM [Targets]"/>
  </connection>
  <connection id="7" xr16:uid="{18462B3E-0C25-49BA-90C0-78579804AD1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8CFB4D07-07A9-4948-9A73-5151F1124922}" name="WorksheetConnection_Final Excel project.xlsx!Customers" type="102" refreshedVersion="8" minRefreshableVersion="5">
    <extLst>
      <ext xmlns:x15="http://schemas.microsoft.com/office/spreadsheetml/2010/11/main" uri="{DE250136-89BD-433C-8126-D09CA5730AF9}">
        <x15:connection id="Customers">
          <x15:rangePr sourceName="_xlcn.WorksheetConnection_FinalExcelproject.xlsxCustomers"/>
        </x15:connection>
      </ext>
    </extLst>
  </connection>
  <connection id="9" xr16:uid="{605F1C4D-3C4A-4174-AB23-8520BC7B6FD7}" name="WorksheetConnection_Final Excel project.xlsx!Employees" type="102" refreshedVersion="8" minRefreshableVersion="5">
    <extLst>
      <ext xmlns:x15="http://schemas.microsoft.com/office/spreadsheetml/2010/11/main" uri="{DE250136-89BD-433C-8126-D09CA5730AF9}">
        <x15:connection id="Employees">
          <x15:rangePr sourceName="_xlcn.WorksheetConnection_FinalExcelproject.xlsxEmployees"/>
        </x15:connection>
      </ext>
    </extLst>
  </connection>
  <connection id="10" xr16:uid="{59B75D5D-C220-472F-9D0B-868D567F21D4}" name="WorksheetConnection_Final Excel project.xlsx!Products" type="102" refreshedVersion="8" minRefreshableVersion="5">
    <extLst>
      <ext xmlns:x15="http://schemas.microsoft.com/office/spreadsheetml/2010/11/main" uri="{DE250136-89BD-433C-8126-D09CA5730AF9}">
        <x15:connection id="Products">
          <x15:rangePr sourceName="_xlcn.WorksheetConnection_FinalExcelproject.xlsxProducts"/>
        </x15:connection>
      </ext>
    </extLst>
  </connection>
  <connection id="11" xr16:uid="{4CCC4FFE-DC77-4DEA-8EEC-7EEE5DE5F278}" name="WorksheetConnection_Final Excel project.xlsx!Returns" type="102" refreshedVersion="8" minRefreshableVersion="5">
    <extLst>
      <ext xmlns:x15="http://schemas.microsoft.com/office/spreadsheetml/2010/11/main" uri="{DE250136-89BD-433C-8126-D09CA5730AF9}">
        <x15:connection id="Returns">
          <x15:rangePr sourceName="_xlcn.WorksheetConnection_FinalExcelproject.xlsxReturns"/>
        </x15:connection>
      </ext>
    </extLst>
  </connection>
  <connection id="12" xr16:uid="{7A8F320E-1786-40D8-A17B-A24C7CE5901B}" name="WorksheetConnection_Final Excel project.xlsx!Sales_Table" type="102" refreshedVersion="8" minRefreshableVersion="5">
    <extLst>
      <ext xmlns:x15="http://schemas.microsoft.com/office/spreadsheetml/2010/11/main" uri="{DE250136-89BD-433C-8126-D09CA5730AF9}">
        <x15:connection id="Sales_Table">
          <x15:rangePr sourceName="_xlcn.WorksheetConnection_FinalExcelproject.xlsxSales_Table"/>
        </x15:connection>
      </ext>
    </extLst>
  </connection>
  <connection id="13" xr16:uid="{204F7D5A-C52A-4237-B221-15BA1CF2F7A4}" name="WorksheetConnection_Final Excel project.xlsx!Targets" type="102" refreshedVersion="8" minRefreshableVersion="5">
    <extLst>
      <ext xmlns:x15="http://schemas.microsoft.com/office/spreadsheetml/2010/11/main" uri="{DE250136-89BD-433C-8126-D09CA5730AF9}">
        <x15:connection id="Targets">
          <x15:rangePr sourceName="_xlcn.WorksheetConnection_FinalExcelproject.xlsxTargets"/>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Sales_Table].[Sale Eligilblity].&amp;[Y]}"/>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<sst xmlns="http://schemas.openxmlformats.org/spreadsheetml/2006/main" count="3105" uniqueCount="363">
  <si>
    <t>Order ID</t>
  </si>
  <si>
    <t>Order Date</t>
  </si>
  <si>
    <t>Customer ID</t>
  </si>
  <si>
    <t>Product ID</t>
  </si>
  <si>
    <t>Employee ID</t>
  </si>
  <si>
    <t>Region</t>
  </si>
  <si>
    <t>Order Status</t>
  </si>
  <si>
    <t>Payment Mode</t>
  </si>
  <si>
    <t>Quantity</t>
  </si>
  <si>
    <t>Unit Price</t>
  </si>
  <si>
    <t>Discount %</t>
  </si>
  <si>
    <t>O1001</t>
  </si>
  <si>
    <t>C001</t>
  </si>
  <si>
    <t>P001</t>
  </si>
  <si>
    <t>E001</t>
  </si>
  <si>
    <t>Hyderabad</t>
  </si>
  <si>
    <t>Delivered</t>
  </si>
  <si>
    <t>Online</t>
  </si>
  <si>
    <t>O1002</t>
  </si>
  <si>
    <t>C002</t>
  </si>
  <si>
    <t>P002</t>
  </si>
  <si>
    <t>E002</t>
  </si>
  <si>
    <t>Chennai</t>
  </si>
  <si>
    <t>UPI</t>
  </si>
  <si>
    <t>O1003</t>
  </si>
  <si>
    <t>C003</t>
  </si>
  <si>
    <t>P003</t>
  </si>
  <si>
    <t>E003</t>
  </si>
  <si>
    <t>Bangalore</t>
  </si>
  <si>
    <t>Card</t>
  </si>
  <si>
    <t>O1004</t>
  </si>
  <si>
    <t>C004</t>
  </si>
  <si>
    <t>P004</t>
  </si>
  <si>
    <t>E004</t>
  </si>
  <si>
    <t>Pune</t>
  </si>
  <si>
    <t>Cash</t>
  </si>
  <si>
    <t>O1005</t>
  </si>
  <si>
    <t>C005</t>
  </si>
  <si>
    <t>P005</t>
  </si>
  <si>
    <t>E005</t>
  </si>
  <si>
    <t>O1006</t>
  </si>
  <si>
    <t>C006</t>
  </si>
  <si>
    <t>P006</t>
  </si>
  <si>
    <t>E006</t>
  </si>
  <si>
    <t>O1007</t>
  </si>
  <si>
    <t>C007</t>
  </si>
  <si>
    <t>O1008</t>
  </si>
  <si>
    <t>C008</t>
  </si>
  <si>
    <t>O1009</t>
  </si>
  <si>
    <t>C009</t>
  </si>
  <si>
    <t>O1010</t>
  </si>
  <si>
    <t>C010</t>
  </si>
  <si>
    <t>O1011</t>
  </si>
  <si>
    <t>O1012</t>
  </si>
  <si>
    <t>O1013</t>
  </si>
  <si>
    <t>O1014</t>
  </si>
  <si>
    <t>O1015</t>
  </si>
  <si>
    <t>Returned</t>
  </si>
  <si>
    <t>O1016</t>
  </si>
  <si>
    <t>O1017</t>
  </si>
  <si>
    <t>O1018</t>
  </si>
  <si>
    <t>O1019</t>
  </si>
  <si>
    <t>O1020</t>
  </si>
  <si>
    <t>O1021</t>
  </si>
  <si>
    <t>O1022</t>
  </si>
  <si>
    <t>Cancelled</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</si>
  <si>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</si>
  <si>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</si>
  <si>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</si>
  <si>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</si>
  <si>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</si>
  <si>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</si>
  <si>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</si>
  <si>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</si>
  <si>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</si>
  <si>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</si>
  <si>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</si>
  <si>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</si>
  <si>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</si>
  <si>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</si>
  <si>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</si>
  <si>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</si>
  <si>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</si>
  <si>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</si>
  <si>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</si>
  <si>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</si>
  <si>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</si>
  <si>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</si>
  <si>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</si>
  <si>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</si>
  <si>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</si>
  <si>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</si>
  <si>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</si>
  <si>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</si>
  <si>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</si>
  <si>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</si>
  <si>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</si>
  <si>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</si>
  <si>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</si>
  <si>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</si>
  <si>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</si>
  <si>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</si>
  <si>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</si>
  <si>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</si>
  <si>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</si>
  <si>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</si>
  <si>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</si>
  <si>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</si>
  <si>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</si>
  <si>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</si>
  <si>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</si>
  <si>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</si>
  <si>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</si>
  <si>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</si>
  <si>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</si>
  <si>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</si>
  <si>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</si>
  <si>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</si>
  <si>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</si>
  <si>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</si>
  <si>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</si>
  <si>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</si>
  <si>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</si>
  <si>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</si>
  <si>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</si>
  <si>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</si>
  <si>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</si>
  <si>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</si>
  <si>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</si>
  <si>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</si>
  <si>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</si>
  <si>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</si>
  <si>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</si>
  <si>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</si>
  <si>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</si>
  <si>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</si>
  <si>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</si>
  <si>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</si>
  <si>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</si>
  <si>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</si>
  <si>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</si>
  <si>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</si>
  <si>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</si>
  <si>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</si>
  <si>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</si>
  <si>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</si>
  <si>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</si>
  <si>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</si>
  <si>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</si>
  <si>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</si>
  <si>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</si>
  <si>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</si>
  <si>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</si>
  <si>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</si>
  <si>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</si>
  <si>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</si>
  <si>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</si>
  <si>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</si>
  <si>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</si>
  <si>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</si>
  <si>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</si>
  <si>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</si>
  <si>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</si>
  <si>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</si>
  <si>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Product Name</t>
  </si>
  <si>
    <t>Category</t>
  </si>
  <si>
    <t>Brand</t>
  </si>
  <si>
    <t>Standard Cost</t>
  </si>
  <si>
    <t>Selling Price</t>
  </si>
  <si>
    <t>Laptop</t>
  </si>
  <si>
    <t>Computers</t>
  </si>
  <si>
    <t>Dell</t>
  </si>
  <si>
    <t>Monitor</t>
  </si>
  <si>
    <t>Displays</t>
  </si>
  <si>
    <t>LG</t>
  </si>
  <si>
    <t>Keyboard</t>
  </si>
  <si>
    <t>Accessories</t>
  </si>
  <si>
    <t>Logitech</t>
  </si>
  <si>
    <t>Mouse</t>
  </si>
  <si>
    <t>Printer</t>
  </si>
  <si>
    <t>Printers</t>
  </si>
  <si>
    <t>HP</t>
  </si>
  <si>
    <t>Headset</t>
  </si>
  <si>
    <t>Boat</t>
  </si>
  <si>
    <t>Customer Name</t>
  </si>
  <si>
    <t>Customer Type</t>
  </si>
  <si>
    <t>City</t>
  </si>
  <si>
    <t>State</t>
  </si>
  <si>
    <t>ABC Technologies</t>
  </si>
  <si>
    <t>Corporate</t>
  </si>
  <si>
    <t>Telangana</t>
  </si>
  <si>
    <t>Sri Lakshmi Traders</t>
  </si>
  <si>
    <t>Business</t>
  </si>
  <si>
    <t>Tamil Nadu</t>
  </si>
  <si>
    <t>Vertex Solutions</t>
  </si>
  <si>
    <t>Karnataka</t>
  </si>
  <si>
    <t>Royal Enterprises</t>
  </si>
  <si>
    <t>Maharashtra</t>
  </si>
  <si>
    <t>TechNova Pvt Ltd</t>
  </si>
  <si>
    <t>Metro Computers</t>
  </si>
  <si>
    <t>Retail</t>
  </si>
  <si>
    <t>Future Systems</t>
  </si>
  <si>
    <t>Prime Digital</t>
  </si>
  <si>
    <t>Smart World</t>
  </si>
  <si>
    <t>NextGen Solutions</t>
  </si>
  <si>
    <t>Employee Name</t>
  </si>
  <si>
    <t>Department</t>
  </si>
  <si>
    <t>Joining Date</t>
  </si>
  <si>
    <t>Rahul Kumar</t>
  </si>
  <si>
    <t>Sales</t>
  </si>
  <si>
    <t>Priya Sharma</t>
  </si>
  <si>
    <t>Arjun Reddy</t>
  </si>
  <si>
    <t>Sneha Patel</t>
  </si>
  <si>
    <t>Kiran Rao</t>
  </si>
  <si>
    <t>Anjali Singh</t>
  </si>
  <si>
    <t>Gross Sales</t>
  </si>
  <si>
    <t>Discount</t>
  </si>
  <si>
    <t>Net Sale</t>
  </si>
  <si>
    <t>Total Cost</t>
  </si>
  <si>
    <t>Profit</t>
  </si>
  <si>
    <t>profit%</t>
  </si>
  <si>
    <t>Month</t>
  </si>
  <si>
    <t>Year</t>
  </si>
  <si>
    <t xml:space="preserve">Days </t>
  </si>
  <si>
    <t>Weekned/Weekday</t>
  </si>
  <si>
    <t>Sale Eligilblity</t>
  </si>
  <si>
    <t>Retured</t>
  </si>
  <si>
    <t>KPI</t>
  </si>
  <si>
    <t>Value</t>
  </si>
  <si>
    <t>Total Orders</t>
  </si>
  <si>
    <t>Delivered Orders</t>
  </si>
  <si>
    <t>Cancelled Orders</t>
  </si>
  <si>
    <t>Returned Orders</t>
  </si>
  <si>
    <t>Total Quantity Sold</t>
  </si>
  <si>
    <t>Total Net Sales</t>
  </si>
  <si>
    <t>Total Profit</t>
  </si>
  <si>
    <t>Overall Profit %</t>
  </si>
  <si>
    <t>Net Sales</t>
  </si>
  <si>
    <t>Profit %</t>
  </si>
  <si>
    <t>Quantity Sold</t>
  </si>
  <si>
    <t>Orders</t>
  </si>
  <si>
    <t xml:space="preserve"> Growth %</t>
  </si>
  <si>
    <t>Target</t>
  </si>
  <si>
    <t>Actual Sales</t>
  </si>
  <si>
    <t>Variance</t>
  </si>
  <si>
    <t>Achievement %</t>
  </si>
  <si>
    <t>Sales Target</t>
  </si>
  <si>
    <t>Return ID</t>
  </si>
  <si>
    <t>Return Date</t>
  </si>
  <si>
    <t>Return Qty</t>
  </si>
  <si>
    <t>Return Reason</t>
  </si>
  <si>
    <t>R001</t>
  </si>
  <si>
    <t>Damaged</t>
  </si>
  <si>
    <t>R002</t>
  </si>
  <si>
    <t>Wrong Product</t>
  </si>
  <si>
    <t>R003</t>
  </si>
  <si>
    <t>Customer Cancellation</t>
  </si>
  <si>
    <t>R004</t>
  </si>
  <si>
    <t>R005</t>
  </si>
  <si>
    <t>Defective</t>
  </si>
  <si>
    <t>R006</t>
  </si>
  <si>
    <t>Metric</t>
  </si>
  <si>
    <t>Total Returned Orders</t>
  </si>
  <si>
    <t>Returned Quantity</t>
  </si>
  <si>
    <t>Return Value</t>
  </si>
  <si>
    <t>Return Rate</t>
  </si>
  <si>
    <t>Which region generated the highest Net Sales?</t>
  </si>
  <si>
    <t>Answers</t>
  </si>
  <si>
    <t>Which product sold the highest quantity?</t>
  </si>
  <si>
    <t>Which product generated the highest profit?</t>
  </si>
  <si>
    <t>Which employee generated the highest sales?</t>
  </si>
  <si>
    <t>Which region has the highest Profit %?</t>
  </si>
  <si>
    <t>Find orders with high sales but low profit %</t>
  </si>
  <si>
    <t>Find the highest Net Sale order</t>
  </si>
  <si>
    <t>Find sales for Chennai + P001</t>
  </si>
  <si>
    <t>Find delivered orders only</t>
  </si>
  <si>
    <t>Find cancelled orders</t>
  </si>
  <si>
    <t>Q1</t>
  </si>
  <si>
    <t>Q2</t>
  </si>
  <si>
    <t>Q3</t>
  </si>
  <si>
    <t>Q4</t>
  </si>
  <si>
    <t>Q5</t>
  </si>
  <si>
    <t>Q6</t>
  </si>
  <si>
    <t>Q7</t>
  </si>
  <si>
    <t>Q8</t>
  </si>
  <si>
    <t>Q9</t>
  </si>
  <si>
    <t>Q10</t>
  </si>
  <si>
    <t>Product Analaysis</t>
  </si>
  <si>
    <t>Region Analaysis</t>
  </si>
  <si>
    <t>KPI Analaysis</t>
  </si>
  <si>
    <t>Employee Analaysis</t>
  </si>
  <si>
    <t>Month  Analaysis</t>
  </si>
  <si>
    <t>Target Analaysis</t>
  </si>
  <si>
    <t>Returned Orders Analaysis</t>
  </si>
  <si>
    <t>Monday</t>
  </si>
  <si>
    <t>Weekday</t>
  </si>
  <si>
    <t>Y</t>
  </si>
  <si>
    <t>N</t>
  </si>
  <si>
    <t>Tuesday</t>
  </si>
  <si>
    <t>Thursday</t>
  </si>
  <si>
    <t>Saturday</t>
  </si>
  <si>
    <t>Weekned</t>
  </si>
  <si>
    <t>Sunday</t>
  </si>
  <si>
    <t>Wednesday</t>
  </si>
  <si>
    <t>Friday</t>
  </si>
  <si>
    <t>Yes</t>
  </si>
  <si>
    <t>Row Labels</t>
  </si>
  <si>
    <t>Grand Total</t>
  </si>
  <si>
    <t>Sum of Quantity</t>
  </si>
  <si>
    <t>Sum of Net Sale</t>
  </si>
  <si>
    <t>Sum of Profit</t>
  </si>
  <si>
    <t>Jan</t>
  </si>
  <si>
    <t>Feb</t>
  </si>
  <si>
    <t>Mar</t>
  </si>
  <si>
    <t>Apr</t>
  </si>
  <si>
    <t>May</t>
  </si>
  <si>
    <t>Jun</t>
  </si>
  <si>
    <t>Jul</t>
  </si>
  <si>
    <t>Aug</t>
  </si>
  <si>
    <t>Sep</t>
  </si>
  <si>
    <t>Oct</t>
  </si>
  <si>
    <t>Nov</t>
  </si>
  <si>
    <t>Dec</t>
  </si>
  <si>
    <t>Count of Order ID</t>
  </si>
  <si>
    <t>Region Performance</t>
  </si>
  <si>
    <t>Product Performance</t>
  </si>
  <si>
    <t>Employee Performance</t>
  </si>
  <si>
    <t>Monthly Sales</t>
  </si>
  <si>
    <t>Sales Performance</t>
  </si>
  <si>
    <t>Profitability</t>
  </si>
  <si>
    <t>Returns</t>
  </si>
  <si>
    <t>Objective</t>
  </si>
  <si>
    <t>Tools Used</t>
  </si>
  <si>
    <t>Microsoft Excel</t>
  </si>
  <si>
    <t>Excel Tables</t>
  </si>
  <si>
    <t>XLOOKUP</t>
  </si>
  <si>
    <t>SUMIFS</t>
  </si>
  <si>
    <t>COUNTIFS</t>
  </si>
  <si>
    <t>IFERROR</t>
  </si>
  <si>
    <t>FILTER</t>
  </si>
  <si>
    <t>PivotTables</t>
  </si>
  <si>
    <t>PivotCharts</t>
  </si>
  <si>
    <t>Slicers</t>
  </si>
  <si>
    <t>Conditional Formatting</t>
  </si>
  <si>
    <t>Power Query</t>
  </si>
  <si>
    <t>Data Model</t>
  </si>
  <si>
    <t>Sales_Raw</t>
  </si>
  <si>
    <t xml:space="preserve">    ↓</t>
  </si>
  <si>
    <t>Products</t>
  </si>
  <si>
    <t>Customers</t>
  </si>
  <si>
    <t>Employees</t>
  </si>
  <si>
    <t>Targets</t>
  </si>
  <si>
    <t>Analysis Performed</t>
  </si>
  <si>
    <t>KPI Analysis</t>
  </si>
  <si>
    <t>Region Analysis</t>
  </si>
  <si>
    <t>Product Analysis</t>
  </si>
  <si>
    <t>Employee Analysis</t>
  </si>
  <si>
    <t>Monthly Analysis</t>
  </si>
  <si>
    <t>Target vs Actual</t>
  </si>
  <si>
    <t>Return Analysis</t>
  </si>
  <si>
    <t>Business Questions</t>
  </si>
  <si>
    <t>PivotTable Analysis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</si>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</sst>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0.00,&quot;K&quot;"/>
    <numFmt numFmtId="166" formatCode="0,&quot;K&quot;"/>
  </numFmts>
  <fonts count="2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Times New Roman"/>
      <family val="1"/>
    </font>
    <font>
      <b/>
      <sz val="11"/>
      <color theme="8"/>
      <name val="Aptos Narrow"/>
      <family val="2"/>
      <scheme val="minor"/>
    </font>
    <font>
      <b/>
      <sz val="12"/>
      <color theme="9"/>
      <name val="Aptos Narrow"/>
      <family val="2"/>
      <scheme val="minor"/>
    </font>
    <font>
      <sz val="12"/>
      <color theme="1"/>
      <name val="Times New Roman"/>
      <family val="1"/>
    </font>
    <font>
      <b/>
      <sz val="12"/>
      <color theme="1"/>
      <name val="Times New Roman"/>
      <family val="1"/>
    </font>
    <font>
      <b/>
      <sz val="11"/>
      <color theme="0"/>
      <name val="Times New Roman"/>
      <family val="1"/>
    </font>
    <font>
      <sz val="11"/>
      <color theme="0"/>
      <name val="Times New Roman"/>
      <family val="1"/>
    </font>
    <font>
      <b/>
      <sz val="14"/>
      <color theme="5"/>
      <name val="Times New Roman"/>
      <family val="1"/>
    </font>
    <font>
      <b/>
      <sz val="16"/>
      <color theme="8"/>
      <name val="Aptos Narrow"/>
      <family val="2"/>
      <scheme val="minor"/>
    </font>
    <font>
      <b/>
      <sz val="15"/>
      <color rgb="FF0070C0"/>
      <name val="Times New Roman"/>
      <family val="1"/>
    </font>
    <font>
      <b/>
      <sz val="15"/>
      <color rgb="FF7030A0"/>
      <name val="Times New Roman"/>
      <family val="1"/>
    </font>
    <font>
      <b/>
      <sz val="15"/>
      <color theme="9"/>
      <name val="Times New Roman"/>
      <family val="1"/>
    </font>
    <font>
      <sz val="15"/>
      <color rgb="FF00B050"/>
      <name val="Times New Roman"/>
      <family val="1"/>
    </font>
    <font>
      <b/>
      <sz val="15"/>
      <color rgb="FF00B050"/>
      <name val="Times New Roman"/>
      <family val="1"/>
    </font>
    <font>
      <b/>
      <sz val="15"/>
      <color theme="1"/>
      <name val="Times New Roman"/>
      <family val="1"/>
    </font>
    <font>
      <b/>
      <sz val="16"/>
      <color theme="1"/>
      <name val="Times New Roman"/>
      <family val="1"/>
    </font>
    <font>
      <b/>
      <sz val="12"/>
      <color theme="8"/>
      <name val="Times New Roman"/>
      <family val="1"/>
    </font>
    <font>
      <b/>
      <sz val="12"/>
      <color theme="7"/>
      <name val="Times New Roman"/>
      <family val="1"/>
    </font>
    <font>
      <b/>
      <sz val="24"/>
      <color theme="8"/>
      <name val="Times New Roman"/>
      <family val="1"/>
    </font>
    <font>
      <b/>
      <sz val="24"/>
      <color theme="7"/>
      <name val="Times New Roman"/>
      <family val="1"/>
    </font>
    <font>
      <b/>
      <sz val="26"/>
      <color theme="9"/>
      <name val="Times New Roman"/>
      <family val="1"/>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14" fontId="0" fillId="0" borderId="0" xfId="0" applyNumberFormat="1"/>
    <xf numFmtId="0" fontId="0" fillId="0" borderId="0" xfId="0" applyNumberFormat="1"/>
    <xf numFmtId="9" fontId="0" fillId="0" borderId="0" xfId="1" applyFon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0" fillId="0" borderId="0" xfId="0" applyAlignment="1"/>
    <xf numFmtId="9" fontId="0" fillId="0" borderId="0" xfId="1" applyFont="1" applyAlignment="1"/>
    <xf numFmtId="0" fontId="2" fillId="0" borderId="1" xfId="0" applyFont="1" applyBorder="1" applyAlignment="1">
      <alignment vertical="center"/>
    </xf>
    <xf numFmtId="0" fontId="0" fillId="0" borderId="1" xfId="0" applyBorder="1"/>
    <xf numFmtId="0" fontId="2" fillId="0" borderId="1" xfId="0" applyFont="1" applyBorder="1"/>
    <xf numFmtId="0" fontId="4" fillId="0" borderId="1" xfId="0" applyFont="1" applyBorder="1"/>
    <xf numFmtId="9" fontId="4" fillId="0" borderId="1" xfId="1" applyFont="1" applyBorder="1"/>
    <xf numFmtId="22" fontId="0" fillId="0" borderId="0" xfId="0" applyNumberFormat="1"/>
    <xf numFmtId="0" fontId="0" fillId="2" borderId="0" xfId="0" applyFill="1"/>
    <xf numFmtId="0" fontId="0" fillId="0" borderId="0" xfId="0" applyAlignment="1">
      <alignment horizontal="center" vertical="center"/>
    </xf>
    <xf numFmtId="0" fontId="3" fillId="0" borderId="0" xfId="0" applyFont="1"/>
    <xf numFmtId="0" fontId="6" fillId="0" borderId="0" xfId="0" applyFont="1"/>
    <xf numFmtId="14" fontId="6" fillId="0" borderId="0" xfId="0" applyNumberFormat="1" applyFont="1"/>
    <xf numFmtId="9" fontId="6" fillId="0" borderId="0" xfId="0" applyNumberFormat="1" applyFont="1"/>
    <xf numFmtId="0" fontId="6" fillId="0" borderId="0" xfId="0" applyNumberFormat="1" applyFont="1"/>
    <xf numFmtId="9" fontId="6" fillId="0" borderId="0" xfId="1" applyFont="1"/>
    <xf numFmtId="0" fontId="6" fillId="0" borderId="0" xfId="1" applyNumberFormat="1" applyFont="1"/>
    <xf numFmtId="17" fontId="6" fillId="0" borderId="0" xfId="0" applyNumberFormat="1" applyFont="1"/>
    <xf numFmtId="0" fontId="8" fillId="3" borderId="0" xfId="0" applyFont="1" applyFill="1" applyBorder="1" applyAlignment="1">
      <alignment horizontal="center" vertical="center"/>
    </xf>
    <xf numFmtId="0" fontId="8" fillId="3" borderId="0" xfId="0" applyFont="1" applyFill="1" applyBorder="1" applyAlignment="1">
      <alignment horizontal="right" vertical="center"/>
    </xf>
    <xf numFmtId="0" fontId="9" fillId="3" borderId="0" xfId="0" applyFont="1" applyFill="1" applyBorder="1" applyAlignment="1">
      <alignment horizontal="right" vertical="center"/>
    </xf>
    <xf numFmtId="0" fontId="6" fillId="0" borderId="0" xfId="0" applyFont="1" applyAlignment="1">
      <alignment vertical="center"/>
    </xf>
    <xf numFmtId="164" fontId="6" fillId="0" borderId="0" xfId="0" applyNumberFormat="1" applyFont="1" applyAlignment="1">
      <alignment vertical="center"/>
    </xf>
    <xf numFmtId="165" fontId="6" fillId="0" borderId="0" xfId="0" applyNumberFormat="1" applyFont="1" applyAlignment="1">
      <alignment vertical="center"/>
    </xf>
    <xf numFmtId="9" fontId="6" fillId="0" borderId="0" xfId="1" applyFont="1" applyAlignment="1">
      <alignment vertical="center"/>
    </xf>
    <xf numFmtId="9" fontId="6" fillId="0" borderId="0" xfId="1" applyFont="1" applyAlignment="1"/>
    <xf numFmtId="164" fontId="6" fillId="0" borderId="0" xfId="0" applyNumberFormat="1" applyFont="1"/>
    <xf numFmtId="165" fontId="6" fillId="0" borderId="0" xfId="0" applyNumberFormat="1" applyFont="1"/>
    <xf numFmtId="164" fontId="6" fillId="0" borderId="0" xfId="0" applyNumberFormat="1" applyFont="1" applyAlignment="1">
      <alignment horizontal="right" vertical="center"/>
    </xf>
    <xf numFmtId="0" fontId="6" fillId="0" borderId="0" xfId="0" pivotButton="1" applyFont="1"/>
    <xf numFmtId="0" fontId="6" fillId="0" borderId="0" xfId="0" applyFont="1" applyAlignment="1">
      <alignment horizontal="left"/>
    </xf>
    <xf numFmtId="166" fontId="6" fillId="0" borderId="0" xfId="0" applyNumberFormat="1" applyFont="1"/>
    <xf numFmtId="0" fontId="3" fillId="0" borderId="6" xfId="0" applyFont="1" applyBorder="1"/>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9" fillId="0" borderId="6" xfId="0" applyFont="1" applyBorder="1"/>
    <xf numFmtId="0" fontId="20" fillId="0" borderId="6" xfId="0" applyFont="1" applyBorder="1"/>
    <xf numFmtId="0" fontId="19" fillId="0" borderId="7" xfId="0" applyFont="1" applyBorder="1"/>
    <xf numFmtId="0" fontId="21" fillId="0" borderId="0" xfId="0" applyFont="1" applyAlignment="1">
      <alignment horizontal="center" vertical="center"/>
    </xf>
    <xf numFmtId="0" fontId="7" fillId="0" borderId="5" xfId="0" applyFont="1" applyBorder="1" applyAlignment="1">
      <alignment horizontal="left" vertical="top" indent="5"/>
    </xf>
    <xf numFmtId="0" fontId="7" fillId="0" borderId="6" xfId="0" applyFont="1" applyBorder="1" applyAlignment="1">
      <alignment horizontal="left" vertical="top" indent="5"/>
    </xf>
    <xf numFmtId="0" fontId="7" fillId="0" borderId="7" xfId="0" applyFont="1" applyBorder="1" applyAlignment="1">
      <alignment horizontal="left" vertical="top" indent="5"/>
    </xf>
    <xf numFmtId="0" fontId="22" fillId="0" borderId="0" xfId="0" applyFont="1" applyAlignment="1">
      <alignment horizontal="center" vertical="center"/>
    </xf>
    <xf numFmtId="0" fontId="7" fillId="0" borderId="5" xfId="0" applyFont="1" applyBorder="1" applyAlignment="1">
      <alignment horizontal="left" indent="4"/>
    </xf>
    <xf numFmtId="0" fontId="7" fillId="0" borderId="6" xfId="0" applyFont="1" applyBorder="1" applyAlignment="1">
      <alignment horizontal="left" indent="4"/>
    </xf>
    <xf numFmtId="0" fontId="7" fillId="0" borderId="7" xfId="0" applyFont="1" applyBorder="1" applyAlignment="1">
      <alignment horizontal="left" indent="4"/>
    </xf>
    <xf numFmtId="0" fontId="23" fillId="0" borderId="0" xfId="0" applyFont="1" applyAlignment="1">
      <alignment horizontal="center" vertical="center"/>
    </xf>
    <xf numFmtId="0" fontId="7" fillId="0" borderId="5" xfId="0" applyFont="1" applyBorder="1" applyAlignment="1">
      <alignment horizontal="left" vertical="top" indent="3"/>
    </xf>
    <xf numFmtId="0" fontId="7" fillId="0" borderId="6" xfId="0" applyFont="1" applyBorder="1" applyAlignment="1">
      <alignment horizontal="left" vertical="top" indent="3"/>
    </xf>
    <xf numFmtId="0" fontId="7" fillId="0" borderId="7" xfId="0" applyFont="1" applyBorder="1" applyAlignment="1">
      <alignment horizontal="left" vertical="top" indent="3"/>
    </xf>
    <xf numFmtId="164" fontId="6" fillId="0" borderId="0" xfId="0" applyNumberFormat="1"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horizontal="center" vertical="center"/>
    </xf>
    <xf numFmtId="17" fontId="9" fillId="3" borderId="0" xfId="0" applyNumberFormat="1" applyFont="1" applyFill="1" applyBorder="1" applyAlignment="1">
      <alignment horizontal="center" vertical="center"/>
    </xf>
    <xf numFmtId="164" fontId="9" fillId="3" borderId="0" xfId="0" applyNumberFormat="1" applyFont="1" applyFill="1" applyBorder="1" applyAlignment="1">
      <alignment horizontal="center" vertical="center"/>
    </xf>
    <xf numFmtId="9" fontId="6" fillId="0" borderId="0" xfId="1" applyFont="1" applyAlignment="1">
      <alignment horizontal="center" vertical="center"/>
    </xf>
    <xf numFmtId="165" fontId="9" fillId="3" borderId="0" xfId="0" applyNumberFormat="1" applyFont="1" applyFill="1" applyBorder="1" applyAlignment="1">
      <alignment horizontal="center" vertical="center"/>
    </xf>
    <xf numFmtId="0" fontId="9" fillId="3" borderId="0" xfId="0" applyFont="1" applyFill="1" applyBorder="1" applyAlignment="1">
      <alignment horizontal="center" vertical="center"/>
    </xf>
    <xf numFmtId="9" fontId="9" fillId="3" borderId="0" xfId="1" applyFont="1" applyFill="1" applyBorder="1" applyAlignment="1">
      <alignment horizontal="center" vertical="center"/>
    </xf>
    <xf numFmtId="0" fontId="4" fillId="0" borderId="3"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13" fillId="0" borderId="0" xfId="0" applyFont="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2" xfId="0" applyFont="1" applyBorder="1" applyAlignment="1">
      <alignment horizontal="center"/>
    </xf>
    <xf numFmtId="0" fontId="15" fillId="0" borderId="0" xfId="0" applyFont="1" applyAlignment="1">
      <alignment horizontal="center"/>
    </xf>
    <xf numFmtId="0" fontId="14" fillId="0" borderId="0" xfId="0" applyFont="1" applyBorder="1" applyAlignment="1">
      <alignment horizontal="center"/>
    </xf>
    <xf numFmtId="0" fontId="16" fillId="0" borderId="0" xfId="0" applyFont="1" applyAlignment="1">
      <alignment horizontal="center"/>
    </xf>
    <xf numFmtId="0" fontId="17" fillId="0" borderId="0" xfId="0" applyFont="1" applyAlignment="1">
      <alignment horizontal="center"/>
    </xf>
    <xf numFmtId="0" fontId="10" fillId="0" borderId="0" xfId="0" applyFont="1" applyAlignment="1">
      <alignment horizontal="center"/>
    </xf>
    <xf numFmtId="0" fontId="12" fillId="0" borderId="0" xfId="0" applyFont="1" applyAlignment="1">
      <alignment horizontal="center"/>
    </xf>
    <xf numFmtId="0" fontId="11" fillId="0" borderId="0" xfId="0" applyFont="1" applyAlignment="1">
      <alignment horizontal="center"/>
    </xf>
    <xf numFmtId="0" fontId="14" fillId="0" borderId="0" xfId="0" applyFont="1" applyAlignment="1">
      <alignment horizontal="center" vertical="center"/>
    </xf>
  </cellXfs>
  <cellStyles count="2">
    <cellStyle name="Normal" xfId="0" builtinId="0"/>
    <cellStyle name="Per cent" xfId="1" builtinId="5"/>
  </cellStyles>
  <dxfs count="204">
    <dxf>
      <font>
        <strike val="0"/>
        <outline val="0"/>
        <shadow val="0"/>
        <u val="none"/>
        <vertAlign val="baseline"/>
        <sz val="12"/>
        <color theme="1"/>
        <name val="Times New Roman"/>
        <family val="1"/>
        <scheme val="none"/>
      </font>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6" formatCode="0,&quot;K&quot;"/>
    </dxf>
    <dxf>
      <numFmt numFmtId="164" formatCode="0.00,,&quot;M&quot;"/>
    </dxf>
    <dxf>
      <numFmt numFmtId="164" formatCode="0.00,,&quot;M&quo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4" formatCode="0.00,,&quot;M&quot;"/>
    </dxf>
    <dxf>
      <numFmt numFmtId="164" formatCode="0.0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6" formatCode="0,&quot;K&quot;"/>
    </dxf>
    <dxf>
      <numFmt numFmtId="164" formatCode="0.00,,&quot;M&quo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numFmt numFmtId="166" formatCode="0,&quot;K&quot;"/>
    </dxf>
    <dxf>
      <numFmt numFmtId="164" formatCode="0.00,,&quot;M&quot;"/>
    </dxf>
    <dxf>
      <numFmt numFmtId="164" formatCode="0.00,,&quot;M&quo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165" formatCode="0.00,&quot;K&quot;"/>
    </dxf>
    <dxf>
      <font>
        <strike val="0"/>
        <outline val="0"/>
        <shadow val="0"/>
        <u val="none"/>
        <vertAlign val="baseline"/>
        <sz val="12"/>
        <color theme="1"/>
        <name val="Times New Roman"/>
        <family val="1"/>
        <scheme val="none"/>
      </font>
      <numFmt numFmtId="164" formatCode="0.00,,&quot;M&quot;"/>
    </dxf>
    <dxf>
      <font>
        <strike val="0"/>
        <outline val="0"/>
        <shadow val="0"/>
        <u val="none"/>
        <vertAlign val="baseline"/>
        <sz val="12"/>
        <color theme="1"/>
        <name val="Times New Roman"/>
        <family val="1"/>
        <scheme val="none"/>
      </font>
      <numFmt numFmtId="22" formatCode="mmm/yy"/>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numFmt numFmtId="164" formatCode="0.00,,&quot;M&quo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numFmt numFmtId="164" formatCode="0.00,,&quot;M&quo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numFmt numFmtId="164" formatCode="0.00,,&quot;M&quot;"/>
      <alignment horizontal="right"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righ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0" indent="0" justifyLastLine="0" shrinkToFit="0" readingOrder="0"/>
    </dxf>
    <dxf>
      <font>
        <strike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numFmt numFmtId="165" formatCode="0.00,&quot;K&quo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numFmt numFmtId="164" formatCode="0.00,,&quot;M&quo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font>
        <strike val="0"/>
        <outline val="0"/>
        <shadow val="0"/>
        <u val="none"/>
        <vertAlign val="baseline"/>
        <sz val="12"/>
        <color theme="1"/>
        <name val="Times New Roman"/>
        <family val="1"/>
        <scheme val="none"/>
      </fon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numFmt numFmtId="165" formatCode="0.00,&quot;K&quo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numFmt numFmtId="165" formatCode="0.00,&quot;K&quot;"/>
      <alignment horizontal="center"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righ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0" indent="0" justifyLastLine="0" shrinkToFit="0" readingOrder="0"/>
    </dxf>
    <dxf>
      <font>
        <strike val="0"/>
        <outline val="0"/>
        <shadow val="0"/>
        <u val="none"/>
        <vertAlign val="baseline"/>
        <sz val="12"/>
        <color theme="1"/>
        <name val="Times New Roman"/>
        <family val="1"/>
        <scheme val="none"/>
      </font>
      <numFmt numFmtId="164" formatCode="0.00,,&quot;M&quo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numFmt numFmtId="164" formatCode="0.00,,&quot;M&quo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9" formatCode="dd/mm/yyyy"/>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22" formatCode="mmm/yy"/>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9" formatCode="dd/mm/yyyy"/>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13" formatCode="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9" formatCode="dd/mm/yyyy"/>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11/relationships/timelineCache" Target="timelineCaches/timelineCache1.xml"/><Relationship Id="rId39" Type="http://schemas.openxmlformats.org/officeDocument/2006/relationships/customXml" Target="../customXml/item6.xml"/><Relationship Id="rId21" Type="http://schemas.openxmlformats.org/officeDocument/2006/relationships/pivotCacheDefinition" Target="pivotCache/pivotCacheDefinition4.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3.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projectS.xlsx]PivotTables!Employee Performance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Employee Sales</a:t>
            </a:r>
            <a:endParaRPr lang="en-IN" sz="20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PivotTables!$B$12</c:f>
              <c:strCache>
                <c:ptCount val="1"/>
                <c:pt idx="0">
                  <c:v>Sum of Net Sale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PivotTables!$A$13:$A$19</c:f>
              <c:strCache>
                <c:ptCount val="6"/>
                <c:pt idx="0">
                  <c:v>Anjali Singh</c:v>
                </c:pt>
                <c:pt idx="1">
                  <c:v>Arjun Reddy</c:v>
                </c:pt>
                <c:pt idx="2">
                  <c:v>Kiran Rao</c:v>
                </c:pt>
                <c:pt idx="3">
                  <c:v>Priya Sharma</c:v>
                </c:pt>
                <c:pt idx="4">
                  <c:v>Rahul Kumar</c:v>
                </c:pt>
                <c:pt idx="5">
                  <c:v>Sneha Patel</c:v>
                </c:pt>
              </c:strCache>
            </c:strRef>
          </c:cat>
          <c:val>
            <c:numRef>
              <c:f>PivotTables!$B$13:$B$19</c:f>
              <c:numCache>
                <c:formatCode>0.00,,"M"</c:formatCode>
                <c:ptCount val="6"/>
                <c:pt idx="0">
                  <c:v>1841200</c:v>
                </c:pt>
                <c:pt idx="1">
                  <c:v>5130750</c:v>
                </c:pt>
                <c:pt idx="2">
                  <c:v>3130900</c:v>
                </c:pt>
                <c:pt idx="3">
                  <c:v>3637840</c:v>
                </c:pt>
                <c:pt idx="4">
                  <c:v>5858500</c:v>
                </c:pt>
                <c:pt idx="5">
                  <c:v>6662750</c:v>
                </c:pt>
              </c:numCache>
            </c:numRef>
          </c:val>
          <c:extLst>
            <c:ext xmlns:c16="http://schemas.microsoft.com/office/drawing/2014/chart" uri="{C3380CC4-5D6E-409C-BE32-E72D297353CC}">
              <c16:uniqueId val="{00000000-1B24-4F48-A6DE-465206B521A5}"/>
            </c:ext>
          </c:extLst>
        </c:ser>
        <c:ser>
          <c:idx val="1"/>
          <c:order val="1"/>
          <c:tx>
            <c:strRef>
              <c:f>PivotTables!$C$12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PivotTables!$A$13:$A$19</c:f>
              <c:strCache>
                <c:ptCount val="6"/>
                <c:pt idx="0">
                  <c:v>Anjali Singh</c:v>
                </c:pt>
                <c:pt idx="1">
                  <c:v>Arjun Reddy</c:v>
                </c:pt>
                <c:pt idx="2">
                  <c:v>Kiran Rao</c:v>
                </c:pt>
                <c:pt idx="3">
                  <c:v>Priya Sharma</c:v>
                </c:pt>
                <c:pt idx="4">
                  <c:v>Rahul Kumar</c:v>
                </c:pt>
                <c:pt idx="5">
                  <c:v>Sneha Patel</c:v>
                </c:pt>
              </c:strCache>
            </c:strRef>
          </c:cat>
          <c:val>
            <c:numRef>
              <c:f>PivotTables!$C$13:$C$19</c:f>
              <c:numCache>
                <c:formatCode>0,"K"</c:formatCode>
                <c:ptCount val="6"/>
                <c:pt idx="0">
                  <c:v>719200</c:v>
                </c:pt>
                <c:pt idx="1">
                  <c:v>689250</c:v>
                </c:pt>
                <c:pt idx="2">
                  <c:v>797900</c:v>
                </c:pt>
                <c:pt idx="3">
                  <c:v>1031440</c:v>
                </c:pt>
                <c:pt idx="4">
                  <c:v>857500</c:v>
                </c:pt>
                <c:pt idx="5">
                  <c:v>965250</c:v>
                </c:pt>
              </c:numCache>
            </c:numRef>
          </c:val>
          <c:extLst>
            <c:ext xmlns:c16="http://schemas.microsoft.com/office/drawing/2014/chart" uri="{C3380CC4-5D6E-409C-BE32-E72D297353CC}">
              <c16:uniqueId val="{00000001-1B24-4F48-A6DE-465206B521A5}"/>
            </c:ext>
          </c:extLst>
        </c:ser>
        <c:dLbls>
          <c:dLblPos val="outEnd"/>
          <c:showLegendKey val="0"/>
          <c:showVal val="1"/>
          <c:showCatName val="0"/>
          <c:showSerName val="0"/>
          <c:showPercent val="0"/>
          <c:showBubbleSize val="0"/>
        </c:dLbls>
        <c:gapWidth val="100"/>
        <c:overlap val="-24"/>
        <c:axId val="1027923424"/>
        <c:axId val="1027925824"/>
      </c:barChart>
      <c:catAx>
        <c:axId val="1027923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925824"/>
        <c:crosses val="autoZero"/>
        <c:auto val="1"/>
        <c:lblAlgn val="ctr"/>
        <c:lblOffset val="100"/>
        <c:noMultiLvlLbl val="0"/>
      </c:catAx>
      <c:valAx>
        <c:axId val="1027925824"/>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9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projectS.xlsx]PivotTables!Order Status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Order Status</a:t>
            </a:r>
            <a:endParaRPr lang="en-US" sz="20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PivotTables!$B$23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E8-4B0A-A77C-86EB375A53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E8-4B0A-A77C-86EB375A537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E8-4B0A-A77C-86EB375A53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PivotTables!$A$24:$A$27</c:f>
              <c:strCache>
                <c:ptCount val="3"/>
                <c:pt idx="0">
                  <c:v>Cancelled</c:v>
                </c:pt>
                <c:pt idx="1">
                  <c:v>Delivered</c:v>
                </c:pt>
                <c:pt idx="2">
                  <c:v>Returned</c:v>
                </c:pt>
              </c:strCache>
            </c:strRef>
          </c:cat>
          <c:val>
            <c:numRef>
              <c:f>PivotTables!$B$24:$B$27</c:f>
              <c:numCache>
                <c:formatCode>General</c:formatCode>
                <c:ptCount val="3"/>
                <c:pt idx="0">
                  <c:v>1</c:v>
                </c:pt>
                <c:pt idx="1">
                  <c:v>117</c:v>
                </c:pt>
                <c:pt idx="2">
                  <c:v>2</c:v>
                </c:pt>
              </c:numCache>
            </c:numRef>
          </c:val>
          <c:extLst>
            <c:ext xmlns:c16="http://schemas.microsoft.com/office/drawing/2014/chart" uri="{C3380CC4-5D6E-409C-BE32-E72D297353CC}">
              <c16:uniqueId val="{00000006-DDE8-4B0A-A77C-86EB375A53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projectS.xlsx]PivotTables!Region Performance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2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Sales by Region</a:t>
            </a:r>
            <a:endParaRPr lang="en-IN" sz="2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876145285288904E-7"/>
              <c:y val="-3.784683827264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25452855499298E-2"/>
                  <c:h val="8.8428974600188143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3973472407893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2325913699527"/>
          <c:y val="0.40566897540705532"/>
          <c:w val="0.55614625109060545"/>
          <c:h val="0.3945206383786371"/>
        </c:manualLayout>
      </c:layout>
      <c:barChart>
        <c:barDir val="col"/>
        <c:grouping val="clustered"/>
        <c:varyColors val="0"/>
        <c:ser>
          <c:idx val="1"/>
          <c:order val="1"/>
          <c:tx>
            <c:strRef>
              <c:f>PivotTables!$C$3</c:f>
              <c:strCache>
                <c:ptCount val="1"/>
                <c:pt idx="0">
                  <c:v>Sum of Net Sale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6-4192-4190-8F82-FBC83FE05855}"/>
              </c:ext>
            </c:extLst>
          </c:dPt>
          <c:dLbls>
            <c:dLbl>
              <c:idx val="1"/>
              <c:layout>
                <c:manualLayout>
                  <c:x val="1.0876145285288904E-7"/>
                  <c:y val="-3.784683827264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25452855499298E-2"/>
                      <c:h val="8.8428974600188143E-2"/>
                    </c:manualLayout>
                  </c15:layout>
                </c:ext>
                <c:ext xmlns:c16="http://schemas.microsoft.com/office/drawing/2014/chart" uri="{C3380CC4-5D6E-409C-BE32-E72D297353CC}">
                  <c16:uniqueId val="{00000006-4192-4190-8F82-FBC83FE058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PivotTables!$A$4:$A$8</c:f>
              <c:strCache>
                <c:ptCount val="4"/>
                <c:pt idx="0">
                  <c:v>Bangalore</c:v>
                </c:pt>
                <c:pt idx="1">
                  <c:v>Chennai</c:v>
                </c:pt>
                <c:pt idx="2">
                  <c:v>Hyderabad</c:v>
                </c:pt>
                <c:pt idx="3">
                  <c:v>Pune</c:v>
                </c:pt>
              </c:strCache>
            </c:strRef>
          </c:cat>
          <c:val>
            <c:numRef>
              <c:f>PivotTables!$C$4:$C$8</c:f>
              <c:numCache>
                <c:formatCode>0.00,,"M"</c:formatCode>
                <c:ptCount val="4"/>
                <c:pt idx="0">
                  <c:v>6273500</c:v>
                </c:pt>
                <c:pt idx="1">
                  <c:v>6817500</c:v>
                </c:pt>
                <c:pt idx="2">
                  <c:v>7549900</c:v>
                </c:pt>
                <c:pt idx="3">
                  <c:v>5235540</c:v>
                </c:pt>
              </c:numCache>
            </c:numRef>
          </c:val>
          <c:extLst>
            <c:ext xmlns:c16="http://schemas.microsoft.com/office/drawing/2014/chart" uri="{C3380CC4-5D6E-409C-BE32-E72D297353CC}">
              <c16:uniqueId val="{00000000-4192-4190-8F82-FBC83FE05855}"/>
            </c:ext>
          </c:extLst>
        </c:ser>
        <c:dLbls>
          <c:dLblPos val="outEnd"/>
          <c:showLegendKey val="0"/>
          <c:showVal val="1"/>
          <c:showCatName val="0"/>
          <c:showSerName val="0"/>
          <c:showPercent val="0"/>
          <c:showBubbleSize val="0"/>
        </c:dLbls>
        <c:gapWidth val="219"/>
        <c:overlap val="-27"/>
        <c:axId val="1012581808"/>
        <c:axId val="1012582288"/>
      </c:barChart>
      <c:barChart>
        <c:barDir val="col"/>
        <c:grouping val="clustered"/>
        <c:varyColors val="0"/>
        <c:ser>
          <c:idx val="0"/>
          <c:order val="0"/>
          <c:tx>
            <c:strRef>
              <c:f>PivotTables!$B$3</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7-4192-4190-8F82-FBC83FE05855}"/>
              </c:ext>
            </c:extLst>
          </c:dPt>
          <c:dLbls>
            <c:dLbl>
              <c:idx val="1"/>
              <c:layout>
                <c:manualLayout>
                  <c:x val="0"/>
                  <c:y val="-1.3973472407893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92-4190-8F82-FBC83FE058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PivotTables!$A$4:$A$8</c:f>
              <c:strCache>
                <c:ptCount val="4"/>
                <c:pt idx="0">
                  <c:v>Bangalore</c:v>
                </c:pt>
                <c:pt idx="1">
                  <c:v>Chennai</c:v>
                </c:pt>
                <c:pt idx="2">
                  <c:v>Hyderabad</c:v>
                </c:pt>
                <c:pt idx="3">
                  <c:v>Pune</c:v>
                </c:pt>
              </c:strCache>
            </c:strRef>
          </c:cat>
          <c:val>
            <c:numRef>
              <c:f>PivotTables!$B$4:$B$8</c:f>
              <c:numCache>
                <c:formatCode>General</c:formatCode>
                <c:ptCount val="4"/>
                <c:pt idx="0">
                  <c:v>458</c:v>
                </c:pt>
                <c:pt idx="1">
                  <c:v>764</c:v>
                </c:pt>
                <c:pt idx="2">
                  <c:v>487</c:v>
                </c:pt>
                <c:pt idx="3">
                  <c:v>811</c:v>
                </c:pt>
              </c:numCache>
            </c:numRef>
          </c:val>
          <c:extLst>
            <c:ext xmlns:c16="http://schemas.microsoft.com/office/drawing/2014/chart" uri="{C3380CC4-5D6E-409C-BE32-E72D297353CC}">
              <c16:uniqueId val="{00000001-4192-4190-8F82-FBC83FE05855}"/>
            </c:ext>
          </c:extLst>
        </c:ser>
        <c:dLbls>
          <c:dLblPos val="outEnd"/>
          <c:showLegendKey val="0"/>
          <c:showVal val="1"/>
          <c:showCatName val="0"/>
          <c:showSerName val="0"/>
          <c:showPercent val="0"/>
          <c:showBubbleSize val="0"/>
        </c:dLbls>
        <c:gapWidth val="219"/>
        <c:overlap val="-27"/>
        <c:axId val="1012579888"/>
        <c:axId val="1012585168"/>
      </c:barChart>
      <c:lineChart>
        <c:grouping val="standard"/>
        <c:varyColors val="0"/>
        <c:ser>
          <c:idx val="2"/>
          <c:order val="2"/>
          <c:tx>
            <c:strRef>
              <c:f>PivotTables!$D$3</c:f>
              <c:strCache>
                <c:ptCount val="1"/>
                <c:pt idx="0">
                  <c:v>Sum of Profit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PivotTables!$A$4:$A$8</c:f>
              <c:strCache>
                <c:ptCount val="4"/>
                <c:pt idx="0">
                  <c:v>Bangalore</c:v>
                </c:pt>
                <c:pt idx="1">
                  <c:v>Chennai</c:v>
                </c:pt>
                <c:pt idx="2">
                  <c:v>Hyderabad</c:v>
                </c:pt>
                <c:pt idx="3">
                  <c:v>Pune</c:v>
                </c:pt>
              </c:strCache>
            </c:strRef>
          </c:cat>
          <c:val>
            <c:numRef>
              <c:f>PivotTables!$D$4:$D$8</c:f>
              <c:numCache>
                <c:formatCode>0.00,,"M"</c:formatCode>
                <c:ptCount val="4"/>
                <c:pt idx="0">
                  <c:v>1066000</c:v>
                </c:pt>
                <c:pt idx="1">
                  <c:v>1443100</c:v>
                </c:pt>
                <c:pt idx="2">
                  <c:v>1222400</c:v>
                </c:pt>
                <c:pt idx="3">
                  <c:v>1243540</c:v>
                </c:pt>
              </c:numCache>
            </c:numRef>
          </c:val>
          <c:smooth val="0"/>
          <c:extLst>
            <c:ext xmlns:c16="http://schemas.microsoft.com/office/drawing/2014/chart" uri="{C3380CC4-5D6E-409C-BE32-E72D297353CC}">
              <c16:uniqueId val="{00000002-4192-4190-8F82-FBC83FE05855}"/>
            </c:ext>
          </c:extLst>
        </c:ser>
        <c:dLbls>
          <c:showLegendKey val="0"/>
          <c:showVal val="1"/>
          <c:showCatName val="0"/>
          <c:showSerName val="0"/>
          <c:showPercent val="0"/>
          <c:showBubbleSize val="0"/>
        </c:dLbls>
        <c:marker val="1"/>
        <c:smooth val="0"/>
        <c:axId val="1012581808"/>
        <c:axId val="1012582288"/>
      </c:lineChart>
      <c:catAx>
        <c:axId val="101258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582288"/>
        <c:crosses val="autoZero"/>
        <c:auto val="1"/>
        <c:lblAlgn val="ctr"/>
        <c:lblOffset val="100"/>
        <c:noMultiLvlLbl val="0"/>
      </c:catAx>
      <c:valAx>
        <c:axId val="1012582288"/>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581808"/>
        <c:crosses val="autoZero"/>
        <c:crossBetween val="between"/>
      </c:valAx>
      <c:valAx>
        <c:axId val="10125851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579888"/>
        <c:crosses val="max"/>
        <c:crossBetween val="between"/>
      </c:valAx>
      <c:catAx>
        <c:axId val="1012579888"/>
        <c:scaling>
          <c:orientation val="minMax"/>
        </c:scaling>
        <c:delete val="1"/>
        <c:axPos val="b"/>
        <c:numFmt formatCode="General" sourceLinked="1"/>
        <c:majorTickMark val="none"/>
        <c:minorTickMark val="none"/>
        <c:tickLblPos val="nextTo"/>
        <c:crossAx val="10125851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projectS.xlsx]PivotTables!Product Performance</c:name>
    <c:fmtId val="11"/>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2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Sales by Product</a:t>
            </a:r>
            <a:endParaRPr lang="en-IN" sz="2200">
              <a:latin typeface="Times New Roman" panose="02020603050405020304" pitchFamily="18" charset="0"/>
              <a:cs typeface="Times New Roman" panose="02020603050405020304" pitchFamily="18" charset="0"/>
            </a:endParaRPr>
          </a:p>
        </c:rich>
      </c:tx>
      <c:layout>
        <c:manualLayout>
          <c:xMode val="edge"/>
          <c:yMode val="edge"/>
          <c:x val="0.38551412535494367"/>
          <c:y val="6.9316371441211819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3535649581111"/>
          <c:y val="0.17063792480743195"/>
          <c:w val="0.57107459827400975"/>
          <c:h val="0.71764306611016626"/>
        </c:manualLayout>
      </c:layout>
      <c:barChart>
        <c:barDir val="bar"/>
        <c:grouping val="percentStacked"/>
        <c:varyColors val="0"/>
        <c:ser>
          <c:idx val="0"/>
          <c:order val="0"/>
          <c:tx>
            <c:strRef>
              <c:f>PivotTables!$G$3</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PivotTables!$F$4:$F$10</c:f>
              <c:strCache>
                <c:ptCount val="6"/>
                <c:pt idx="0">
                  <c:v>Headset</c:v>
                </c:pt>
                <c:pt idx="1">
                  <c:v>Keyboard</c:v>
                </c:pt>
                <c:pt idx="2">
                  <c:v>Laptop</c:v>
                </c:pt>
                <c:pt idx="3">
                  <c:v>Monitor</c:v>
                </c:pt>
                <c:pt idx="4">
                  <c:v>Mouse</c:v>
                </c:pt>
                <c:pt idx="5">
                  <c:v>Printer</c:v>
                </c:pt>
              </c:strCache>
            </c:strRef>
          </c:cat>
          <c:val>
            <c:numRef>
              <c:f>PivotTables!$G$4:$G$10</c:f>
              <c:numCache>
                <c:formatCode>General</c:formatCode>
                <c:ptCount val="6"/>
                <c:pt idx="0">
                  <c:v>444</c:v>
                </c:pt>
                <c:pt idx="1">
                  <c:v>650</c:v>
                </c:pt>
                <c:pt idx="2">
                  <c:v>120</c:v>
                </c:pt>
                <c:pt idx="3">
                  <c:v>312</c:v>
                </c:pt>
                <c:pt idx="4">
                  <c:v>868</c:v>
                </c:pt>
                <c:pt idx="5">
                  <c:v>184</c:v>
                </c:pt>
              </c:numCache>
            </c:numRef>
          </c:val>
          <c:extLst>
            <c:ext xmlns:c16="http://schemas.microsoft.com/office/drawing/2014/chart" uri="{C3380CC4-5D6E-409C-BE32-E72D297353CC}">
              <c16:uniqueId val="{00000000-1E12-4099-8B50-CA65A621977E}"/>
            </c:ext>
          </c:extLst>
        </c:ser>
        <c:ser>
          <c:idx val="1"/>
          <c:order val="1"/>
          <c:tx>
            <c:strRef>
              <c:f>PivotTables!$H$3</c:f>
              <c:strCache>
                <c:ptCount val="1"/>
                <c:pt idx="0">
                  <c:v>Sum of Net Sale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PivotTables!$F$4:$F$10</c:f>
              <c:strCache>
                <c:ptCount val="6"/>
                <c:pt idx="0">
                  <c:v>Headset</c:v>
                </c:pt>
                <c:pt idx="1">
                  <c:v>Keyboard</c:v>
                </c:pt>
                <c:pt idx="2">
                  <c:v>Laptop</c:v>
                </c:pt>
                <c:pt idx="3">
                  <c:v>Monitor</c:v>
                </c:pt>
                <c:pt idx="4">
                  <c:v>Mouse</c:v>
                </c:pt>
                <c:pt idx="5">
                  <c:v>Printer</c:v>
                </c:pt>
              </c:strCache>
            </c:strRef>
          </c:cat>
          <c:val>
            <c:numRef>
              <c:f>PivotTables!$H$4:$H$10</c:f>
              <c:numCache>
                <c:formatCode>0.00,,"M"</c:formatCode>
                <c:ptCount val="6"/>
                <c:pt idx="0">
                  <c:v>3371040</c:v>
                </c:pt>
                <c:pt idx="1">
                  <c:v>3067700</c:v>
                </c:pt>
                <c:pt idx="2">
                  <c:v>5369000</c:v>
                </c:pt>
                <c:pt idx="3">
                  <c:v>6904000</c:v>
                </c:pt>
                <c:pt idx="4">
                  <c:v>1736000</c:v>
                </c:pt>
                <c:pt idx="5">
                  <c:v>5814200</c:v>
                </c:pt>
              </c:numCache>
            </c:numRef>
          </c:val>
          <c:extLst>
            <c:ext xmlns:c16="http://schemas.microsoft.com/office/drawing/2014/chart" uri="{C3380CC4-5D6E-409C-BE32-E72D297353CC}">
              <c16:uniqueId val="{00000001-1E12-4099-8B50-CA65A621977E}"/>
            </c:ext>
          </c:extLst>
        </c:ser>
        <c:ser>
          <c:idx val="2"/>
          <c:order val="2"/>
          <c:tx>
            <c:strRef>
              <c:f>PivotTables!$I$3</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PivotTables!$F$4:$F$10</c:f>
              <c:strCache>
                <c:ptCount val="6"/>
                <c:pt idx="0">
                  <c:v>Headset</c:v>
                </c:pt>
                <c:pt idx="1">
                  <c:v>Keyboard</c:v>
                </c:pt>
                <c:pt idx="2">
                  <c:v>Laptop</c:v>
                </c:pt>
                <c:pt idx="3">
                  <c:v>Monitor</c:v>
                </c:pt>
                <c:pt idx="4">
                  <c:v>Mouse</c:v>
                </c:pt>
                <c:pt idx="5">
                  <c:v>Printer</c:v>
                </c:pt>
              </c:strCache>
            </c:strRef>
          </c:cat>
          <c:val>
            <c:numRef>
              <c:f>PivotTables!$I$4:$I$10</c:f>
              <c:numCache>
                <c:formatCode>0,"K"</c:formatCode>
                <c:ptCount val="6"/>
                <c:pt idx="0">
                  <c:v>1062240</c:v>
                </c:pt>
                <c:pt idx="1">
                  <c:v>792700</c:v>
                </c:pt>
                <c:pt idx="2">
                  <c:v>689000</c:v>
                </c:pt>
                <c:pt idx="3">
                  <c:v>976000</c:v>
                </c:pt>
                <c:pt idx="4">
                  <c:v>694400</c:v>
                </c:pt>
                <c:pt idx="5">
                  <c:v>846200</c:v>
                </c:pt>
              </c:numCache>
            </c:numRef>
          </c:val>
          <c:extLst>
            <c:ext xmlns:c16="http://schemas.microsoft.com/office/drawing/2014/chart" uri="{C3380CC4-5D6E-409C-BE32-E72D297353CC}">
              <c16:uniqueId val="{00000002-1E12-4099-8B50-CA65A621977E}"/>
            </c:ext>
          </c:extLst>
        </c:ser>
        <c:dLbls>
          <c:dLblPos val="ctr"/>
          <c:showLegendKey val="0"/>
          <c:showVal val="1"/>
          <c:showCatName val="0"/>
          <c:showSerName val="0"/>
          <c:showPercent val="0"/>
          <c:showBubbleSize val="0"/>
        </c:dLbls>
        <c:gapWidth val="150"/>
        <c:overlap val="100"/>
        <c:axId val="1012271968"/>
        <c:axId val="1012269568"/>
      </c:barChart>
      <c:catAx>
        <c:axId val="1012271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269568"/>
        <c:crosses val="autoZero"/>
        <c:auto val="1"/>
        <c:lblAlgn val="ctr"/>
        <c:lblOffset val="100"/>
        <c:noMultiLvlLbl val="0"/>
      </c:catAx>
      <c:valAx>
        <c:axId val="10122695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271968"/>
        <c:crosses val="autoZero"/>
        <c:crossBetween val="between"/>
      </c:valAx>
      <c:spPr>
        <a:noFill/>
        <a:ln>
          <a:noFill/>
        </a:ln>
        <a:effectLst/>
      </c:spPr>
    </c:plotArea>
    <c:legend>
      <c:legendPos val="r"/>
      <c:layout>
        <c:manualLayout>
          <c:xMode val="edge"/>
          <c:yMode val="edge"/>
          <c:x val="1.510143638318566E-2"/>
          <c:y val="0.59182997436365203"/>
          <c:w val="0.14283810569766345"/>
          <c:h val="0.384719894647978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projectS.xlsx]PivotTables!Monthly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Monthly Sales Trend</a:t>
            </a:r>
            <a:endParaRPr lang="en-IN" sz="2000">
              <a:latin typeface="Times New Roman" panose="02020603050405020304" pitchFamily="18" charset="0"/>
              <a:cs typeface="Times New Roman" panose="02020603050405020304" pitchFamily="18" charset="0"/>
            </a:endParaRPr>
          </a:p>
        </c:rich>
      </c:tx>
      <c:layout>
        <c:manualLayout>
          <c:xMode val="edge"/>
          <c:yMode val="edge"/>
          <c:x val="0.35405407462581073"/>
          <c:y val="2.74015764492783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6622864008785901E-2"/>
              <c:y val="-8.056399462720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3572154775434E-2"/>
          <c:y val="0.17217261649216517"/>
          <c:w val="0.74005099738488878"/>
          <c:h val="0.64814845233357654"/>
        </c:manualLayout>
      </c:layout>
      <c:lineChart>
        <c:grouping val="stacked"/>
        <c:varyColors val="0"/>
        <c:ser>
          <c:idx val="0"/>
          <c:order val="0"/>
          <c:tx>
            <c:strRef>
              <c:f>PivotTables!$G$15</c:f>
              <c:strCache>
                <c:ptCount val="1"/>
                <c:pt idx="0">
                  <c:v>Sum of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PivotTables!$F$16:$F$28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PivotTables!$G$16:$G$28</c:f>
              <c:numCache>
                <c:formatCode>0,"K"</c:formatCode>
                <c:ptCount val="12"/>
                <c:pt idx="0">
                  <c:v>342000</c:v>
                </c:pt>
                <c:pt idx="1">
                  <c:v>252500</c:v>
                </c:pt>
                <c:pt idx="2">
                  <c:v>267400</c:v>
                </c:pt>
                <c:pt idx="3">
                  <c:v>266040</c:v>
                </c:pt>
                <c:pt idx="4">
                  <c:v>308100</c:v>
                </c:pt>
                <c:pt idx="5">
                  <c:v>327000</c:v>
                </c:pt>
                <c:pt idx="6">
                  <c:v>323900</c:v>
                </c:pt>
                <c:pt idx="7">
                  <c:v>329750</c:v>
                </c:pt>
                <c:pt idx="8">
                  <c:v>721700</c:v>
                </c:pt>
                <c:pt idx="9">
                  <c:v>601400</c:v>
                </c:pt>
                <c:pt idx="10">
                  <c:v>620450</c:v>
                </c:pt>
                <c:pt idx="11">
                  <c:v>700300</c:v>
                </c:pt>
              </c:numCache>
            </c:numRef>
          </c:val>
          <c:smooth val="0"/>
          <c:extLst>
            <c:ext xmlns:c16="http://schemas.microsoft.com/office/drawing/2014/chart" uri="{C3380CC4-5D6E-409C-BE32-E72D297353CC}">
              <c16:uniqueId val="{00000000-EEC2-42D6-B6B2-737A0FC0E7F5}"/>
            </c:ext>
          </c:extLst>
        </c:ser>
        <c:ser>
          <c:idx val="1"/>
          <c:order val="1"/>
          <c:tx>
            <c:strRef>
              <c:f>PivotTables!$H$15</c:f>
              <c:strCache>
                <c:ptCount val="1"/>
                <c:pt idx="0">
                  <c:v>Sum of Net Sale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8"/>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EEC2-42D6-B6B2-737A0FC0E7F5}"/>
              </c:ext>
            </c:extLst>
          </c:dPt>
          <c:dLbls>
            <c:dLbl>
              <c:idx val="8"/>
              <c:layout>
                <c:manualLayout>
                  <c:x val="-3.6622864008785901E-2"/>
                  <c:y val="-8.05639946272004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C2-42D6-B6B2-737A0FC0E7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PivotTables!$F$16:$F$28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PivotTables!$H$16:$H$28</c:f>
              <c:numCache>
                <c:formatCode>0.00,,"M"</c:formatCode>
                <c:ptCount val="12"/>
                <c:pt idx="0">
                  <c:v>1726400</c:v>
                </c:pt>
                <c:pt idx="1">
                  <c:v>1334500</c:v>
                </c:pt>
                <c:pt idx="2">
                  <c:v>1388000</c:v>
                </c:pt>
                <c:pt idx="3">
                  <c:v>1367440</c:v>
                </c:pt>
                <c:pt idx="4">
                  <c:v>1732200</c:v>
                </c:pt>
                <c:pt idx="5">
                  <c:v>1562500</c:v>
                </c:pt>
                <c:pt idx="6">
                  <c:v>1617100</c:v>
                </c:pt>
                <c:pt idx="7">
                  <c:v>1927950</c:v>
                </c:pt>
                <c:pt idx="8">
                  <c:v>3655200</c:v>
                </c:pt>
                <c:pt idx="9">
                  <c:v>3064600</c:v>
                </c:pt>
                <c:pt idx="10">
                  <c:v>3266550</c:v>
                </c:pt>
                <c:pt idx="11">
                  <c:v>3619500</c:v>
                </c:pt>
              </c:numCache>
            </c:numRef>
          </c:val>
          <c:smooth val="0"/>
          <c:extLst>
            <c:ext xmlns:c16="http://schemas.microsoft.com/office/drawing/2014/chart" uri="{C3380CC4-5D6E-409C-BE32-E72D297353CC}">
              <c16:uniqueId val="{00000001-EEC2-42D6-B6B2-737A0FC0E7F5}"/>
            </c:ext>
          </c:extLst>
        </c:ser>
        <c:dLbls>
          <c:dLblPos val="t"/>
          <c:showLegendKey val="0"/>
          <c:showVal val="1"/>
          <c:showCatName val="0"/>
          <c:showSerName val="0"/>
          <c:showPercent val="0"/>
          <c:showBubbleSize val="0"/>
        </c:dLbls>
        <c:marker val="1"/>
        <c:smooth val="0"/>
        <c:axId val="1027913344"/>
        <c:axId val="1027915744"/>
      </c:lineChart>
      <c:catAx>
        <c:axId val="10279133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915744"/>
        <c:crosses val="autoZero"/>
        <c:auto val="1"/>
        <c:lblAlgn val="ctr"/>
        <c:lblOffset val="100"/>
        <c:noMultiLvlLbl val="0"/>
      </c:catAx>
      <c:valAx>
        <c:axId val="1027915744"/>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913344"/>
        <c:crosses val="autoZero"/>
        <c:crossBetween val="between"/>
      </c:valAx>
      <c:spPr>
        <a:noFill/>
        <a:ln>
          <a:noFill/>
        </a:ln>
        <a:effectLst/>
      </c:spPr>
    </c:plotArea>
    <c:legend>
      <c:legendPos val="r"/>
      <c:layout>
        <c:manualLayout>
          <c:xMode val="edge"/>
          <c:yMode val="edge"/>
          <c:x val="0.74212003414323846"/>
          <c:y val="0.34888851888879518"/>
          <c:w val="0.24407043945827511"/>
          <c:h val="0.21941905671379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403374</xdr:colOff>
      <xdr:row>20</xdr:row>
      <xdr:rowOff>33976</xdr:rowOff>
    </xdr:from>
    <xdr:to>
      <xdr:col>11</xdr:col>
      <xdr:colOff>95071</xdr:colOff>
      <xdr:row>35</xdr:row>
      <xdr:rowOff>14925</xdr:rowOff>
    </xdr:to>
    <xdr:graphicFrame macro="">
      <xdr:nvGraphicFramePr>
        <xdr:cNvPr id="3" name="Chart 4">
          <a:extLst>
            <a:ext uri="{FF2B5EF4-FFF2-40B4-BE49-F238E27FC236}">
              <a16:creationId xmlns:a16="http://schemas.microsoft.com/office/drawing/2014/main" id="{606FCF10-2772-2DC3-E26C-2ED08E53E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411766</xdr:colOff>
      <xdr:row>35</xdr:row>
      <xdr:rowOff>64484</xdr:rowOff>
    </xdr:from>
    <xdr:to>
      <xdr:col>11</xdr:col>
      <xdr:colOff>87588</xdr:colOff>
      <xdr:row>50</xdr:row>
      <xdr:rowOff>21895</xdr:rowOff>
    </xdr:to>
    <xdr:graphicFrame macro="">
      <xdr:nvGraphicFramePr>
        <xdr:cNvPr id="6" name="Chart 3">
          <a:extLst>
            <a:ext uri="{FF2B5EF4-FFF2-40B4-BE49-F238E27FC236}">
              <a16:creationId xmlns:a16="http://schemas.microsoft.com/office/drawing/2014/main" id="{0C27F7F5-4DE2-A6A2-EBED-A9B983317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372242</xdr:colOff>
      <xdr:row>0</xdr:row>
      <xdr:rowOff>138678</xdr:rowOff>
    </xdr:from>
    <xdr:to>
      <xdr:col>18</xdr:col>
      <xdr:colOff>510920</xdr:colOff>
      <xdr:row>3</xdr:row>
      <xdr:rowOff>167873</xdr:rowOff>
    </xdr:to>
    <xdr:sp macro="" textlink="">
      <xdr:nvSpPr>
        <xdr:cNvPr id="7" name="Rectangle: Rounded Corners 6">
          <a:extLst>
            <a:ext uri="{FF2B5EF4-FFF2-40B4-BE49-F238E27FC236}">
              <a16:creationId xmlns:a16="http://schemas.microsoft.com/office/drawing/2014/main" id="{D66CE246-90B3-0466-BC8F-684C372442B5}"/>
            </a:ext>
          </a:extLst>
        </xdr:cNvPr>
        <xdr:cNvSpPr/>
      </xdr:nvSpPr>
      <xdr:spPr>
        <a:xfrm>
          <a:off x="1598449" y="138678"/>
          <a:ext cx="9335230" cy="576609"/>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latin typeface="Times New Roman" panose="02020603050405020304" pitchFamily="18" charset="0"/>
              <a:cs typeface="Times New Roman" panose="02020603050405020304" pitchFamily="18" charset="0"/>
            </a:rPr>
            <a:t>Sales Performance &amp; Profitability Analysis Dashboard</a:t>
          </a:r>
        </a:p>
      </xdr:txBody>
    </xdr:sp>
    <xdr:clientData/>
  </xdr:twoCellAnchor>
  <xdr:twoCellAnchor>
    <xdr:from>
      <xdr:col>3</xdr:col>
      <xdr:colOff>386839</xdr:colOff>
      <xdr:row>4</xdr:row>
      <xdr:rowOff>138679</xdr:rowOff>
    </xdr:from>
    <xdr:to>
      <xdr:col>11</xdr:col>
      <xdr:colOff>79228</xdr:colOff>
      <xdr:row>19</xdr:row>
      <xdr:rowOff>128205</xdr:rowOff>
    </xdr:to>
    <xdr:graphicFrame macro="">
      <xdr:nvGraphicFramePr>
        <xdr:cNvPr id="9" name="Chart 1">
          <a:extLst>
            <a:ext uri="{FF2B5EF4-FFF2-40B4-BE49-F238E27FC236}">
              <a16:creationId xmlns:a16="http://schemas.microsoft.com/office/drawing/2014/main" id="{BFAC065D-1F2A-4363-91B5-27E3D5C58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189770</xdr:colOff>
      <xdr:row>4</xdr:row>
      <xdr:rowOff>131379</xdr:rowOff>
    </xdr:from>
    <xdr:to>
      <xdr:col>18</xdr:col>
      <xdr:colOff>498072</xdr:colOff>
      <xdr:row>19</xdr:row>
      <xdr:rowOff>102184</xdr:rowOff>
    </xdr:to>
    <xdr:graphicFrame macro="">
      <xdr:nvGraphicFramePr>
        <xdr:cNvPr id="10" name="Chart 2">
          <a:extLst>
            <a:ext uri="{FF2B5EF4-FFF2-40B4-BE49-F238E27FC236}">
              <a16:creationId xmlns:a16="http://schemas.microsoft.com/office/drawing/2014/main" id="{96A27AA5-A236-49A5-BAFF-99BED778F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211667</xdr:colOff>
      <xdr:row>20</xdr:row>
      <xdr:rowOff>21897</xdr:rowOff>
    </xdr:from>
    <xdr:to>
      <xdr:col>18</xdr:col>
      <xdr:colOff>518218</xdr:colOff>
      <xdr:row>34</xdr:row>
      <xdr:rowOff>145977</xdr:rowOff>
    </xdr:to>
    <xdr:graphicFrame macro="">
      <xdr:nvGraphicFramePr>
        <xdr:cNvPr id="11" name="Chart 5">
          <a:extLst>
            <a:ext uri="{FF2B5EF4-FFF2-40B4-BE49-F238E27FC236}">
              <a16:creationId xmlns:a16="http://schemas.microsoft.com/office/drawing/2014/main" id="{59500B8E-0F2A-4AED-9A04-C2A736972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116781</xdr:colOff>
      <xdr:row>8</xdr:row>
      <xdr:rowOff>7300</xdr:rowOff>
    </xdr:from>
    <xdr:to>
      <xdr:col>3</xdr:col>
      <xdr:colOff>321149</xdr:colOff>
      <xdr:row>15</xdr:row>
      <xdr:rowOff>7299</xdr:rowOff>
    </xdr:to>
    <xdr:sp macro="" textlink="Analysis!B9">
      <xdr:nvSpPr>
        <xdr:cNvPr id="12" name="Rectangle 11">
          <a:extLst>
            <a:ext uri="{FF2B5EF4-FFF2-40B4-BE49-F238E27FC236}">
              <a16:creationId xmlns:a16="http://schemas.microsoft.com/office/drawing/2014/main" id="{DCD8304A-4334-B665-2191-7BD0AF0EA5FB}"/>
            </a:ext>
          </a:extLst>
        </xdr:cNvPr>
        <xdr:cNvSpPr/>
      </xdr:nvSpPr>
      <xdr:spPr>
        <a:xfrm>
          <a:off x="116781" y="1467070"/>
          <a:ext cx="2043678" cy="1277298"/>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u="none" strike="noStrike">
              <a:solidFill>
                <a:schemeClr val="bg1"/>
              </a:solidFill>
              <a:latin typeface="Times New Roman" panose="02020603050405020304" pitchFamily="18" charset="0"/>
              <a:cs typeface="Times New Roman" panose="02020603050405020304" pitchFamily="18" charset="0"/>
            </a:rPr>
            <a:t>Total Sales </a:t>
          </a:r>
        </a:p>
        <a:p>
          <a:pPr algn="ctr"/>
          <a:fld id="{C283EA5B-319E-482C-A995-09E74F48E9D6}" type="TxLink">
            <a:rPr lang="en-US" sz="2500" b="1" i="0" u="none" strike="noStrike">
              <a:solidFill>
                <a:schemeClr val="bg1"/>
              </a:solidFill>
              <a:latin typeface="Times New Roman" panose="02020603050405020304" pitchFamily="18" charset="0"/>
              <a:cs typeface="Times New Roman" panose="02020603050405020304" pitchFamily="18" charset="0"/>
            </a:rPr>
            <a:pPr algn="ctr"/>
            <a:t>25.88M</a:t>
          </a:fld>
          <a:endParaRPr lang="en-IN" sz="25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124080</xdr:colOff>
      <xdr:row>15</xdr:row>
      <xdr:rowOff>87586</xdr:rowOff>
    </xdr:from>
    <xdr:to>
      <xdr:col>3</xdr:col>
      <xdr:colOff>328448</xdr:colOff>
      <xdr:row>22</xdr:row>
      <xdr:rowOff>87585</xdr:rowOff>
    </xdr:to>
    <xdr:sp macro="" textlink="Analysis!B11">
      <xdr:nvSpPr>
        <xdr:cNvPr id="13" name="Rectangle 12">
          <a:extLst>
            <a:ext uri="{FF2B5EF4-FFF2-40B4-BE49-F238E27FC236}">
              <a16:creationId xmlns:a16="http://schemas.microsoft.com/office/drawing/2014/main" id="{09CF9622-05B9-4153-A254-99A890D83BD0}"/>
            </a:ext>
          </a:extLst>
        </xdr:cNvPr>
        <xdr:cNvSpPr/>
      </xdr:nvSpPr>
      <xdr:spPr>
        <a:xfrm>
          <a:off x="124080" y="2824655"/>
          <a:ext cx="2043678" cy="1277298"/>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u="none" strike="noStrike">
              <a:solidFill>
                <a:schemeClr val="bg1"/>
              </a:solidFill>
              <a:latin typeface="Times New Roman" panose="02020603050405020304" pitchFamily="18" charset="0"/>
              <a:cs typeface="Times New Roman" panose="02020603050405020304" pitchFamily="18" charset="0"/>
            </a:rPr>
            <a:t>Total Profit</a:t>
          </a:r>
        </a:p>
        <a:p>
          <a:pPr algn="ctr"/>
          <a:r>
            <a:rPr lang="en-US" sz="2500" b="1" i="0" u="none" strike="noStrike">
              <a:solidFill>
                <a:schemeClr val="bg1"/>
              </a:solidFill>
              <a:latin typeface="Times New Roman" panose="02020603050405020304" pitchFamily="18" charset="0"/>
              <a:cs typeface="Times New Roman" panose="02020603050405020304" pitchFamily="18" charset="0"/>
            </a:rPr>
            <a:t> </a:t>
          </a:r>
          <a:fld id="{94929A16-9393-46CE-A80F-00712DDDA62E}" type="TxLink">
            <a:rPr lang="en-US" sz="2500" b="1" i="0" u="none" strike="noStrike">
              <a:solidFill>
                <a:schemeClr val="bg1"/>
              </a:solidFill>
              <a:latin typeface="Times New Roman" panose="02020603050405020304" pitchFamily="18" charset="0"/>
              <a:cs typeface="Times New Roman" panose="02020603050405020304" pitchFamily="18" charset="0"/>
            </a:rPr>
            <a:pPr algn="ctr"/>
            <a:t>4975.04K</a:t>
          </a:fld>
          <a:endParaRPr lang="en-IN" sz="25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109482</xdr:colOff>
      <xdr:row>22</xdr:row>
      <xdr:rowOff>167873</xdr:rowOff>
    </xdr:from>
    <xdr:to>
      <xdr:col>3</xdr:col>
      <xdr:colOff>313850</xdr:colOff>
      <xdr:row>29</xdr:row>
      <xdr:rowOff>167872</xdr:rowOff>
    </xdr:to>
    <xdr:sp macro="" textlink="Analysis!B12">
      <xdr:nvSpPr>
        <xdr:cNvPr id="14" name="Rectangle 13">
          <a:extLst>
            <a:ext uri="{FF2B5EF4-FFF2-40B4-BE49-F238E27FC236}">
              <a16:creationId xmlns:a16="http://schemas.microsoft.com/office/drawing/2014/main" id="{C0011B90-F9C2-4208-BFAD-3FBDCE34D7ED}"/>
            </a:ext>
          </a:extLst>
        </xdr:cNvPr>
        <xdr:cNvSpPr/>
      </xdr:nvSpPr>
      <xdr:spPr>
        <a:xfrm>
          <a:off x="109482" y="4182241"/>
          <a:ext cx="2043678" cy="1277298"/>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u="none" strike="noStrike">
              <a:solidFill>
                <a:schemeClr val="bg1"/>
              </a:solidFill>
              <a:latin typeface="Times New Roman" panose="02020603050405020304" pitchFamily="18" charset="0"/>
              <a:cs typeface="Times New Roman" panose="02020603050405020304" pitchFamily="18" charset="0"/>
            </a:rPr>
            <a:t>Total profit % </a:t>
          </a:r>
          <a:fld id="{ADE2A90C-4576-42F7-B305-48282545E1A2}" type="TxLink">
            <a:rPr lang="en-US" sz="2500" b="1" i="0" u="none" strike="noStrike">
              <a:solidFill>
                <a:schemeClr val="bg1"/>
              </a:solidFill>
              <a:latin typeface="Times New Roman" panose="02020603050405020304" pitchFamily="18" charset="0"/>
              <a:cs typeface="Times New Roman" panose="02020603050405020304" pitchFamily="18" charset="0"/>
            </a:rPr>
            <a:pPr algn="ctr"/>
            <a:t>19%</a:t>
          </a:fld>
          <a:endParaRPr lang="en-IN" sz="25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102185</xdr:colOff>
      <xdr:row>30</xdr:row>
      <xdr:rowOff>58391</xdr:rowOff>
    </xdr:from>
    <xdr:to>
      <xdr:col>3</xdr:col>
      <xdr:colOff>306553</xdr:colOff>
      <xdr:row>37</xdr:row>
      <xdr:rowOff>58390</xdr:rowOff>
    </xdr:to>
    <xdr:sp macro="" textlink="Analysis!B4">
      <xdr:nvSpPr>
        <xdr:cNvPr id="15" name="Rectangle 14">
          <a:extLst>
            <a:ext uri="{FF2B5EF4-FFF2-40B4-BE49-F238E27FC236}">
              <a16:creationId xmlns:a16="http://schemas.microsoft.com/office/drawing/2014/main" id="{7B8F6ABF-D89B-44C2-A70C-4BBCFEFEBC0D}"/>
            </a:ext>
          </a:extLst>
        </xdr:cNvPr>
        <xdr:cNvSpPr/>
      </xdr:nvSpPr>
      <xdr:spPr>
        <a:xfrm>
          <a:off x="102185" y="5532529"/>
          <a:ext cx="2043678" cy="1277298"/>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u="none" strike="noStrike">
              <a:solidFill>
                <a:schemeClr val="bg1"/>
              </a:solidFill>
              <a:latin typeface="Times New Roman" panose="02020603050405020304" pitchFamily="18" charset="0"/>
              <a:cs typeface="Times New Roman" panose="02020603050405020304" pitchFamily="18" charset="0"/>
            </a:rPr>
            <a:t>Total Orders </a:t>
          </a:r>
          <a:fld id="{0DF7E53D-3769-4FE6-AC29-396171105521}" type="TxLink">
            <a:rPr lang="en-US" sz="2500" b="1" i="0" u="none" strike="noStrike">
              <a:solidFill>
                <a:schemeClr val="bg1"/>
              </a:solidFill>
              <a:latin typeface="Times New Roman" panose="02020603050405020304" pitchFamily="18" charset="0"/>
              <a:cs typeface="Times New Roman" panose="02020603050405020304" pitchFamily="18" charset="0"/>
            </a:rPr>
            <a:pPr algn="ctr"/>
            <a:t>120</a:t>
          </a:fld>
          <a:endParaRPr lang="en-IN" sz="25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124080</xdr:colOff>
      <xdr:row>0</xdr:row>
      <xdr:rowOff>80287</xdr:rowOff>
    </xdr:from>
    <xdr:to>
      <xdr:col>3</xdr:col>
      <xdr:colOff>277357</xdr:colOff>
      <xdr:row>7</xdr:row>
      <xdr:rowOff>116781</xdr:rowOff>
    </xdr:to>
    <mc:AlternateContent xmlns:mc="http://schemas.openxmlformats.org/markup-compatibility/2006" xmlns:tsle="http://schemas.microsoft.com/office/drawing/2012/timeslicer">
      <mc:Choice Requires="tsle">
        <xdr:graphicFrame macro="">
          <xdr:nvGraphicFramePr>
            <xdr:cNvPr id="16" name="Order Date">
              <a:extLst>
                <a:ext uri="{FF2B5EF4-FFF2-40B4-BE49-F238E27FC236}">
                  <a16:creationId xmlns:a16="http://schemas.microsoft.com/office/drawing/2014/main" id="{83F2CEA0-287C-8D37-530B-53BBBA85E41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4080" y="80287"/>
              <a:ext cx="1992587" cy="13137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102183</xdr:colOff>
      <xdr:row>37</xdr:row>
      <xdr:rowOff>131379</xdr:rowOff>
    </xdr:from>
    <xdr:to>
      <xdr:col>3</xdr:col>
      <xdr:colOff>306551</xdr:colOff>
      <xdr:row>44</xdr:row>
      <xdr:rowOff>131378</xdr:rowOff>
    </xdr:to>
    <xdr:sp macro="" textlink="Analysis!B7">
      <xdr:nvSpPr>
        <xdr:cNvPr id="17" name="Rectangle 16">
          <a:extLst>
            <a:ext uri="{FF2B5EF4-FFF2-40B4-BE49-F238E27FC236}">
              <a16:creationId xmlns:a16="http://schemas.microsoft.com/office/drawing/2014/main" id="{EAE3534C-3C8B-4C30-A904-CE25DB6F37EC}"/>
            </a:ext>
          </a:extLst>
        </xdr:cNvPr>
        <xdr:cNvSpPr/>
      </xdr:nvSpPr>
      <xdr:spPr>
        <a:xfrm>
          <a:off x="102183" y="6882816"/>
          <a:ext cx="2043678" cy="1277298"/>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u="none" strike="noStrike">
              <a:solidFill>
                <a:schemeClr val="bg1"/>
              </a:solidFill>
              <a:latin typeface="Times New Roman" panose="02020603050405020304" pitchFamily="18" charset="0"/>
              <a:cs typeface="Times New Roman" panose="02020603050405020304" pitchFamily="18" charset="0"/>
            </a:rPr>
            <a:t>Returned Orders </a:t>
          </a:r>
          <a:fld id="{0889181B-EE4C-4AE3-9DD7-FDF5E654B465}" type="TxLink">
            <a:rPr lang="en-US" sz="2500" b="1" i="0" u="none" strike="noStrike">
              <a:solidFill>
                <a:schemeClr val="bg1"/>
              </a:solidFill>
              <a:latin typeface="Times New Roman" panose="02020603050405020304" pitchFamily="18" charset="0"/>
              <a:cs typeface="Times New Roman" panose="02020603050405020304" pitchFamily="18" charset="0"/>
            </a:rPr>
            <a:pPr algn="ctr"/>
            <a:t>2</a:t>
          </a:fld>
          <a:endParaRPr lang="en-IN" sz="25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107073</xdr:colOff>
      <xdr:row>45</xdr:row>
      <xdr:rowOff>18684</xdr:rowOff>
    </xdr:from>
    <xdr:to>
      <xdr:col>3</xdr:col>
      <xdr:colOff>277356</xdr:colOff>
      <xdr:row>53</xdr:row>
      <xdr:rowOff>145976</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914C32FE-BA75-81E5-0ACB-58417635AF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073" y="8229891"/>
              <a:ext cx="2009593" cy="1587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mani venkatesh" refreshedDate="46286.448331134263" createdVersion="5" refreshedVersion="8" minRefreshableVersion="3" recordCount="0" supportSubquery="1" supportAdvancedDrill="1" xr:uid="{63831DB6-8488-4E3C-A6D6-AD1A21DF979B}">
  <cacheSource type="external" connectionId="7"/>
  <cacheFields count="5">
    <cacheField name="[Sales_Table].[Region].[Region]" caption="Region" numFmtId="0" hierarchy="25" level="1">
      <sharedItems count="4">
        <s v="Bangalore"/>
        <s v="Chennai"/>
        <s v="Hyderabad"/>
        <s v="Pune"/>
      </sharedItems>
    </cacheField>
    <cacheField name="[Measures].[Sum of Quantity]" caption="Sum of Quantity" numFmtId="0" hierarchy="58" level="32767"/>
    <cacheField name="[Measures].[Sum of Net Sale]" caption="Sum of Net Sale" numFmtId="0" hierarchy="59" level="32767"/>
    <cacheField name="[Measures].[Sum of Profit]" caption="Sum of Profit" numFmtId="0" hierarchy="60" level="32767"/>
    <cacheField name="[Sales_Table].[Sale Eligilblity].[Sale Eligilblity]" caption="Sale Eligilblity" numFmtId="0" hierarchy="44" level="1">
      <sharedItems containsSemiMixedTypes="0" containsNonDate="0" containsString="0"/>
    </cacheField>
  </cacheFields>
  <cacheHierarchies count="62">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Customer Type]" caption="Customer Type" attribute="1" defaultMemberUniqueName="[Customers].[Customer Type].[All]" allUniqueName="[Customers].[Customer Typ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Employees].[Employee ID]" caption="Employee ID" attribute="1" defaultMemberUniqueName="[Employees].[Employee ID].[All]" allUniqueName="[Employees].[Employee ID].[All]" dimensionUniqueName="[Employees]" displayFolder="" count="2" memberValueDatatype="130" unbalanced="0"/>
    <cacheHierarchy uniqueName="[Employees].[Employee Name]" caption="Employee Name" attribute="1" defaultMemberUniqueName="[Employees].[Employee Name].[All]" allUniqueName="[Employees].[Employee Name].[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Joining Date]" caption="Joining Date" attribute="1" time="1" defaultMemberUniqueName="[Employees].[Joining Date].[All]" allUniqueName="[Employees].[Joining Date].[All]" dimensionUniqueName="[Employees]" displayFolder="" count="2" memberValueDatatype="7"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Standard Cost]" caption="Standard Cost" attribute="1" defaultMemberUniqueName="[Products].[Standard Cost].[All]" allUniqueName="[Products].[Standard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Returns].[Return ID]" caption="Return ID" attribute="1" defaultMemberUniqueName="[Returns].[Return ID].[All]" allUniqueName="[Returns].[Return I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Returns].[Return Date]" caption="Return Date" attribute="1" time="1" defaultMemberUniqueName="[Returns].[Return Date].[All]" allUniqueName="[Returns].[Return Date].[All]" dimensionUniqueName="[Returns]" displayFolder="" count="2" memberValueDatatype="7" unbalanced="0"/>
    <cacheHierarchy uniqueName="[Returns].[Return Qty]" caption="Return Qty" attribute="1" defaultMemberUniqueName="[Returns].[Return Qty].[All]" allUniqueName="[Returns].[Return Qty].[All]" dimensionUniqueName="[Returns]" displayFolder="" count="2" memberValueDatatype="20" unbalanced="0"/>
    <cacheHierarchy uniqueName="[Returns].[Return Reason]" caption="Return Reason" attribute="1" defaultMemberUniqueName="[Returns].[Return Reason].[All]" allUniqueName="[Returns].[Return Reason].[All]" dimensionUniqueName="[Returns]" displayFolder="" count="2" memberValueDatatype="130" unbalanced="0"/>
    <cacheHierarchy uniqueName="[Sales_Table].[Order ID]" caption="Order ID" attribute="1" defaultMemberUniqueName="[Sales_Table].[Order ID].[All]" allUniqueName="[Sales_Table].[Order ID].[All]" dimensionUniqueName="[Sales_Table]" displayFolder="" count="2"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Customer ID]" caption="Customer ID" attribute="1" defaultMemberUniqueName="[Sales_Table].[Customer ID].[All]" allUniqueName="[Sales_Table].[Customer ID].[All]" dimensionUniqueName="[Sales_Table]" displayFolder="" count="2" memberValueDatatype="130" unbalanced="0"/>
    <cacheHierarchy uniqueName="[Sales_Table].[Product ID]" caption="Product ID" attribute="1" defaultMemberUniqueName="[Sales_Table].[Product ID].[All]" allUniqueName="[Sales_Table].[Product ID].[All]" dimensionUniqueName="[Sales_Table]" displayFolder="" count="2" memberValueDatatype="130" unbalanced="0"/>
    <cacheHierarchy uniqueName="[Sales_Table].[Employee ID]" caption="Employee ID" attribute="1" defaultMemberUniqueName="[Sales_Table].[Employee ID].[All]" allUniqueName="[Sales_Table].[Employee ID].[All]" dimensionUniqueName="[Sales_Table]" displayFolder="" count="2" memberValueDatatype="130" unbalanced="0"/>
    <cacheHierarchy uniqueName="[Sales_Table].[Region]" caption="Region" attribute="1" defaultMemberUniqueName="[Sales_Table].[Region].[All]" allUniqueName="[Sales_Table].[Region].[All]" dimensionUniqueName="[Sales_Table]" displayFolder="" count="2" memberValueDatatype="130" unbalanced="0">
      <fieldsUsage count="2">
        <fieldUsage x="-1"/>
        <fieldUsage x="0"/>
      </fieldsUsage>
    </cacheHierarchy>
    <cacheHierarchy uniqueName="[Sales_Table].[Order Status]" caption="Order Status" attribute="1" defaultMemberUniqueName="[Sales_Table].[Order Status].[All]" allUniqueName="[Sales_Table].[Order Status].[All]" dimensionUniqueName="[Sales_Table]" displayFolder="" count="2" memberValueDatatype="130" unbalanced="0"/>
    <cacheHierarchy uniqueName="[Sales_Table].[Payment Mode]" caption="Payment Mode" attribute="1" defaultMemberUniqueName="[Sales_Table].[Payment Mode].[All]" allUniqueName="[Sales_Table].[Payment Mode].[All]" dimensionUniqueName="[Sales_Table]" displayFolder="" count="2" memberValueDatatype="130" unbalanced="0"/>
    <cacheHierarchy uniqueName="[Sales_Table].[Quantity]" caption="Quantity" attribute="1" defaultMemberUniqueName="[Sales_Table].[Quantity].[All]" allUniqueName="[Sales_Table].[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20" unbalanced="0"/>
    <cacheHierarchy uniqueName="[Sales_Table].[Discount %]" caption="Discount %" attribute="1" defaultMemberUniqueName="[Sales_Table].[Discount %].[All]" allUniqueName="[Sales_Table].[Discount %].[All]" dimensionUniqueName="[Sales_Table]" displayFolder="" count="2" memberValueDatatype="5" unbalanced="0"/>
    <cacheHierarchy uniqueName="[Sales_Table].[Product Name]" caption="Product Name" attribute="1" defaultMemberUniqueName="[Sales_Table].[Product Name].[All]" allUniqueName="[Sales_Table].[Product Name].[All]" dimensionUniqueName="[Sales_Table]" displayFolder="" count="2" memberValueDatatype="130" unbalanced="0"/>
    <cacheHierarchy uniqueName="[Sales_Table].[Employee Name]" caption="Employee Name" attribute="1" defaultMemberUniqueName="[Sales_Table].[Employee Name].[All]" allUniqueName="[Sales_Table].[Employee Name].[All]" dimensionUniqueName="[Sales_Table]" displayFolder="" count="2" memberValueDatatype="130" unbalanced="0"/>
    <cacheHierarchy uniqueName="[Sales_Table].[Customer Name]" caption="Customer Name" attribute="1" defaultMemberUniqueName="[Sales_Table].[Customer Name].[All]" allUniqueName="[Sales_Table].[Customer Name].[All]" dimensionUniqueName="[Sales_Table]" displayFolder="" count="2" memberValueDatatype="130" unbalanced="0"/>
    <cacheHierarchy uniqueName="[Sales_Table].[Gross Sales]" caption="Gross Sales" attribute="1" defaultMemberUniqueName="[Sales_Table].[Gross Sales].[All]" allUniqueName="[Sales_Table].[Gross Sales].[All]" dimensionUniqueName="[Sales_Table]" displayFolder="" count="2" memberValueDatatype="20" unbalanced="0"/>
    <cacheHierarchy uniqueName="[Sales_Table].[Discount]" caption="Discount" attribute="1" defaultMemberUniqueName="[Sales_Table].[Discount].[All]" allUniqueName="[Sales_Table].[Discount].[All]" dimensionUniqueName="[Sales_Table]" displayFolder="" count="2" memberValueDatatype="20" unbalanced="0"/>
    <cacheHierarchy uniqueName="[Sales_Table].[Net Sale]" caption="Net Sale" attribute="1" defaultMemberUniqueName="[Sales_Table].[Net Sale].[All]" allUniqueName="[Sales_Table].[Net Sale].[All]" dimensionUniqueName="[Sales_Table]" displayFolder="" count="2" memberValueDatatype="20" unbalanced="0"/>
    <cacheHierarchy uniqueName="[Sales_Table].[Total Cost]" caption="Total Cost" attribute="1" defaultMemberUniqueName="[Sales_Table].[Total Cost].[All]" allUniqueName="[Sales_Table].[Total Cost].[All]" dimensionUniqueName="[Sales_Table]" displayFolder="" count="2" memberValueDatatype="20" unbalanced="0"/>
    <cacheHierarchy uniqueName="[Sales_Table].[Profit]" caption="Profit" attribute="1" defaultMemberUniqueName="[Sales_Table].[Profit].[All]" allUniqueName="[Sales_Table].[Profit].[All]" dimensionUniqueName="[Sales_Table]" displayFolder="" count="2" memberValueDatatype="20"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Month]" caption="Month" attribute="1" defaultMemberUniqueName="[Sales_Table].[Month].[All]" allUniqueName="[Sales_Table].[Month].[All]" dimensionUniqueName="[Sales_Table]" displayFolder="" count="2" memberValueDatatype="130" unbalanced="0"/>
    <cacheHierarchy uniqueName="[Sales_Table].[Year]" caption="Year" attribute="1" defaultMemberUniqueName="[Sales_Table].[Year].[All]" allUniqueName="[Sales_Table].[Year].[All]" dimensionUniqueName="[Sales_Table]" displayFolder="" count="2" memberValueDatatype="20" unbalanced="0"/>
    <cacheHierarchy uniqueName="[Sales_Table].[Days]" caption="Days" attribute="1" defaultMemberUniqueName="[Sales_Table].[Days].[All]" allUniqueName="[Sales_Table].[Days].[All]" dimensionUniqueName="[Sales_Table]" displayFolder="" count="2" memberValueDatatype="130" unbalanced="0"/>
    <cacheHierarchy uniqueName="[Sales_Table].[Weekned/Weekday]" caption="Weekned/Weekday" attribute="1" defaultMemberUniqueName="[Sales_Table].[Weekned/Weekday].[All]" allUniqueName="[Sales_Table].[Weekned/Weekday].[All]" dimensionUniqueName="[Sales_Table]" displayFolder="" count="2" memberValueDatatype="130" unbalanced="0"/>
    <cacheHierarchy uniqueName="[Sales_Table].[Sale Eligilblity]" caption="Sale Eligilblity" attribute="1" defaultMemberUniqueName="[Sales_Table].[Sale Eligilblity].[All]" allUniqueName="[Sales_Table].[Sale Eligilblity].[All]" dimensionUniqueName="[Sales_Table]" displayFolder="" count="2" memberValueDatatype="130" unbalanced="0">
      <fieldsUsage count="2">
        <fieldUsage x="-1"/>
        <fieldUsage x="4"/>
      </fieldsUsage>
    </cacheHierarchy>
    <cacheHierarchy uniqueName="[Sales_Table].[Retured]" caption="Retured" attribute="1" defaultMemberUniqueName="[Sales_Table].[Retured].[All]" allUniqueName="[Sales_Table].[Retured].[All]" dimensionUniqueName="[Sales_Table]" displayFolder="" count="2"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cacheHierarchy uniqueName="[Targets].[Month]" caption="Month" attribute="1" time="1" defaultMemberUniqueName="[Targets].[Month].[All]" allUniqueName="[Targets].[Month].[All]" dimensionUniqueName="[Targets]" displayFolder="" count="2" memberValueDatatype="7" unbalanced="0"/>
    <cacheHierarchy uniqueName="[Targets].[Region]" caption="Region" attribute="1" defaultMemberUniqueName="[Targets].[Region].[All]" allUniqueName="[Targets].[Region].[All]" dimensionUniqueName="[Targets]" displayFolder="" count="2" memberValueDatatype="130" unbalanced="0"/>
    <cacheHierarchy uniqueName="[Targets].[Sales Target]" caption="Sales Target" attribute="1" defaultMemberUniqueName="[Targets].[Sales Target].[All]" allUniqueName="[Targets].[Sales Target].[All]" dimensionUniqueName="[Targets]" displayFolder="" count="2" memberValueDatatype="20" unbalanced="0"/>
    <cacheHierarchy uniqueName="[Sales_Table].[Order Date (Month Index)]" caption="Order Date (Month Index)" attribute="1" defaultMemberUniqueName="[Sales_Table].[Order Date (Month Index)].[All]" allUniqueName="[Sales_Table].[Order Date (Month Index)].[All]" dimensionUniqueName="[Sales_Table]" displayFolder="" count="2"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Targets]" caption="__XL_Count Targets" measure="1" displayFolder="" measureGroup="Targe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Quantity]" caption="Sum of Quantity" measure="1" displayFolder="" measureGroup="Sales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Net Sale]" caption="Sum of Net Sale" measure="1" displayFolder="" measureGroup="Sales_Table"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_Table" count="0" oneField="1" hidden="1">
      <fieldsUsage count="1">
        <fieldUsage x="3"/>
      </fieldsUsage>
      <extLst>
        <ext xmlns:x15="http://schemas.microsoft.com/office/spreadsheetml/2010/11/main" uri="{B97F6D7D-B522-45F9-BDA1-12C45D357490}">
          <x15:cacheHierarchy aggregatedColumn="38"/>
        </ext>
      </extLst>
    </cacheHierarchy>
    <cacheHierarchy uniqueName="[Measures].[Count of Order ID]" caption="Count of Order ID" measure="1" displayFolder="" measureGroup="Sales_Table"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Returns" uniqueName="[Returns]" caption="Returns"/>
    <dimension name="Sales_Table" uniqueName="[Sales_Table]" caption="Sales_Table"/>
    <dimension name="Targets" uniqueName="[Targets]" caption="Targets"/>
  </dimensions>
  <measureGroups count="6">
    <measureGroup name="Customers" caption="Customers"/>
    <measureGroup name="Employees" caption="Employees"/>
    <measureGroup name="Products" caption="Products"/>
    <measureGroup name="Returns" caption="Returns"/>
    <measureGroup name="Sales_Table" caption="Sales_Table"/>
    <measureGroup name="Targets" caption="Targets"/>
  </measureGroups>
  <maps count="10">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mani venkatesh" refreshedDate="46286.448331828702" createdVersion="5" refreshedVersion="8" minRefreshableVersion="3" recordCount="0" supportSubquery="1" supportAdvancedDrill="1" xr:uid="{B33AA8F3-4840-4486-AC2F-31749DD9752A}">
  <cacheSource type="external" connectionId="7"/>
  <cacheFields count="3">
    <cacheField name="[Measures].[Sum of Net Sale]" caption="Sum of Net Sale" numFmtId="0" hierarchy="59" level="32767"/>
    <cacheField name="[Measures].[Sum of Profit]" caption="Sum of Profit" numFmtId="0" hierarchy="60" level="32767"/>
    <cacheField name="[Sales_Table].[Employee Name].[Employee Name]" caption="Employee Name" numFmtId="0" hierarchy="32" level="1">
      <sharedItems count="6">
        <s v="Anjali Singh"/>
        <s v="Arjun Reddy"/>
        <s v="Kiran Rao"/>
        <s v="Priya Sharma"/>
        <s v="Rahul Kumar"/>
        <s v="Sneha Patel"/>
      </sharedItems>
    </cacheField>
  </cacheFields>
  <cacheHierarchies count="6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ustomer Type]" caption="Customer Type" attribute="1" defaultMemberUniqueName="[Customers].[Customer Type].[All]" allUniqueName="[Customers].[Customer Typ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130" unbalanced="0"/>
    <cacheHierarchy uniqueName="[Employees].[Employee Name]" caption="Employee Name" attribute="1" defaultMemberUniqueName="[Employees].[Employee Name].[All]" allUniqueName="[Employees].[Employee 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Joining Date]" caption="Joining Date" attribute="1" time="1" defaultMemberUniqueName="[Employees].[Joining Date].[All]" allUniqueName="[Employees].[Joining Date].[All]" dimensionUniqueName="[Employees]" displayFolder="" count="0" memberValueDatatype="7"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tandard Cost]" caption="Standard Cost" attribute="1" defaultMemberUniqueName="[Products].[Standard Cost].[All]" allUniqueName="[Products].[Standard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Returns].[Return ID]" caption="Return ID" attribute="1" defaultMemberUniqueName="[Returns].[Return ID].[All]" allUniqueName="[Returns].[Return I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 Date]" caption="Return Date" attribute="1" time="1" defaultMemberUniqueName="[Returns].[Return Date].[All]" allUniqueName="[Returns].[Return Date].[All]" dimensionUniqueName="[Returns]" displayFolder="" count="0" memberValueDatatype="7" unbalanced="0"/>
    <cacheHierarchy uniqueName="[Returns].[Return Qty]" caption="Return Qty" attribute="1" defaultMemberUniqueName="[Returns].[Return Qty].[All]" allUniqueName="[Returns].[Return Qty].[All]" dimensionUniqueName="[Returns]" displayFolder="" count="0" memberValueDatatype="20" unbalanced="0"/>
    <cacheHierarchy uniqueName="[Returns].[Return Reason]" caption="Return Reason" attribute="1" defaultMemberUniqueName="[Returns].[Return Reason].[All]" allUniqueName="[Returns].[Return Reason].[All]" dimensionUniqueName="[Returns]" displayFolder="" count="0" memberValueDatatype="13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Employee ID]" caption="Employee ID" attribute="1" defaultMemberUniqueName="[Sales_Table].[Employee ID].[All]" allUniqueName="[Sales_Table].[Employee ID].[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2" memberValueDatatype="130" unbalanced="0"/>
    <cacheHierarchy uniqueName="[Sales_Table].[Order Status]" caption="Order Status" attribute="1" defaultMemberUniqueName="[Sales_Table].[Order Status].[All]" allUniqueName="[Sales_Table].[Order Status].[All]" dimensionUniqueName="[Sales_Table]" displayFolder="" count="0" memberValueDatatype="130" unbalanced="0"/>
    <cacheHierarchy uniqueName="[Sales_Table].[Payment Mode]" caption="Payment Mode" attribute="1" defaultMemberUniqueName="[Sales_Table].[Payment Mode].[All]" allUniqueName="[Sales_Table].[Payment Mod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20" unbalanced="0"/>
    <cacheHierarchy uniqueName="[Sales_Table].[Discount %]" caption="Discount %" attribute="1" defaultMemberUniqueName="[Sales_Table].[Discount %].[All]" allUniqueName="[Sales_Table].[Discount %].[All]" dimensionUniqueName="[Sales_Table]" displayFolder="" count="0" memberValueDatatype="5"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Employee Name]" caption="Employee Name" attribute="1" defaultMemberUniqueName="[Sales_Table].[Employee Name].[All]" allUniqueName="[Sales_Table].[Employee Name].[All]" dimensionUniqueName="[Sales_Table]" displayFolder="" count="2" memberValueDatatype="130" unbalanced="0">
      <fieldsUsage count="2">
        <fieldUsage x="-1"/>
        <fieldUsage x="2"/>
      </fieldsUsage>
    </cacheHierarchy>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Gross Sales]" caption="Gross Sales" attribute="1" defaultMemberUniqueName="[Sales_Table].[Gross Sales].[All]" allUniqueName="[Sales_Table].[Gross Sales].[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20" unbalanced="0"/>
    <cacheHierarchy uniqueName="[Sales_Table].[Net Sale]" caption="Net Sale" attribute="1" defaultMemberUniqueName="[Sales_Table].[Net Sale].[All]" allUniqueName="[Sales_Table].[Net Sale].[All]" dimensionUniqueName="[Sales_Table]" displayFolder="" count="0" memberValueDatatype="20" unbalanced="0"/>
    <cacheHierarchy uniqueName="[Sales_Table].[Total Cost]" caption="Total Cost" attribute="1" defaultMemberUniqueName="[Sales_Table].[Total Cost].[All]" allUniqueName="[Sales_Table].[Total Cos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Month]" caption="Month" attribute="1" defaultMemberUniqueName="[Sales_Table].[Month].[All]" allUniqueName="[Sales_Table].[Month].[All]" dimensionUniqueName="[Sales_Table]" displayFolder="" count="0" memberValueDatatype="130" unbalanced="0"/>
    <cacheHierarchy uniqueName="[Sales_Table].[Year]" caption="Year" attribute="1" defaultMemberUniqueName="[Sales_Table].[Year].[All]" allUniqueName="[Sales_Table].[Year].[All]" dimensionUniqueName="[Sales_Table]" displayFolder="" count="0" memberValueDatatype="20" unbalanced="0"/>
    <cacheHierarchy uniqueName="[Sales_Table].[Days]" caption="Days" attribute="1" defaultMemberUniqueName="[Sales_Table].[Days].[All]" allUniqueName="[Sales_Table].[Days].[All]" dimensionUniqueName="[Sales_Table]" displayFolder="" count="0" memberValueDatatype="130" unbalanced="0"/>
    <cacheHierarchy uniqueName="[Sales_Table].[Weekned/Weekday]" caption="Weekned/Weekday" attribute="1" defaultMemberUniqueName="[Sales_Table].[Weekned/Weekday].[All]" allUniqueName="[Sales_Table].[Weekned/Weekday].[All]" dimensionUniqueName="[Sales_Table]" displayFolder="" count="0" memberValueDatatype="130" unbalanced="0"/>
    <cacheHierarchy uniqueName="[Sales_Table].[Sale Eligilblity]" caption="Sale Eligilblity" attribute="1" defaultMemberUniqueName="[Sales_Table].[Sale Eligilblity].[All]" allUniqueName="[Sales_Table].[Sale Eligilblity].[All]" dimensionUniqueName="[Sales_Table]" displayFolder="" count="0" memberValueDatatype="130" unbalanced="0"/>
    <cacheHierarchy uniqueName="[Sales_Table].[Retured]" caption="Retured" attribute="1" defaultMemberUniqueName="[Sales_Table].[Retured].[All]" allUniqueName="[Sales_Table].[Retured].[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Targets].[Month]" caption="Month" attribute="1" time="1" defaultMemberUniqueName="[Targets].[Month].[All]" allUniqueName="[Targets].[Month].[All]" dimensionUniqueName="[Targets]" displayFolder="" count="0" memberValueDatatype="7" unbalanced="0"/>
    <cacheHierarchy uniqueName="[Targets].[Region]" caption="Region" attribute="1" defaultMemberUniqueName="[Targets].[Region].[All]" allUniqueName="[Targets].[Region].[All]" dimensionUniqueName="[Targets]" displayFolder="" count="0" memberValueDatatype="130" unbalanced="0"/>
    <cacheHierarchy uniqueName="[Targets].[Sales Target]" caption="Sales Target" attribute="1" defaultMemberUniqueName="[Targets].[Sales Target].[All]" allUniqueName="[Targets].[Sales Target].[All]" dimensionUniqueName="[Targets]" displayFolder="" count="0" memberValueDatatype="2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Targets]" caption="__XL_Count Targets" measure="1" displayFolder="" measureGroup="Targe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Quantity]" caption="Sum of Quantity" measure="1" displayFolder="" measureGroup="Sales_Table" count="0" hidden="1">
      <extLst>
        <ext xmlns:x15="http://schemas.microsoft.com/office/spreadsheetml/2010/11/main" uri="{B97F6D7D-B522-45F9-BDA1-12C45D357490}">
          <x15:cacheHierarchy aggregatedColumn="28"/>
        </ext>
      </extLst>
    </cacheHierarchy>
    <cacheHierarchy uniqueName="[Measures].[Sum of Net Sale]" caption="Sum of Net Sale" measure="1" displayFolder="" measureGroup="Sales_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_Table" count="0" oneField="1" hidden="1">
      <fieldsUsage count="1">
        <fieldUsage x="1"/>
      </fieldsUsage>
      <extLst>
        <ext xmlns:x15="http://schemas.microsoft.com/office/spreadsheetml/2010/11/main" uri="{B97F6D7D-B522-45F9-BDA1-12C45D357490}">
          <x15:cacheHierarchy aggregatedColumn="38"/>
        </ext>
      </extLst>
    </cacheHierarchy>
    <cacheHierarchy uniqueName="[Measures].[Count of Order ID]" caption="Count of Order ID" measure="1" displayFolder="" measureGroup="Sales_Table"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Returns" uniqueName="[Returns]" caption="Returns"/>
    <dimension name="Sales_Table" uniqueName="[Sales_Table]" caption="Sales_Table"/>
    <dimension name="Targets" uniqueName="[Targets]" caption="Targets"/>
  </dimensions>
  <measureGroups count="6">
    <measureGroup name="Customers" caption="Customers"/>
    <measureGroup name="Employees" caption="Employees"/>
    <measureGroup name="Products" caption="Products"/>
    <measureGroup name="Returns" caption="Returns"/>
    <measureGroup name="Sales_Table" caption="Sales_Table"/>
    <measureGroup name="Targets" caption="Targets"/>
  </measureGroups>
  <maps count="10">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mani venkatesh" refreshedDate="46286.448332523149" createdVersion="5" refreshedVersion="8" minRefreshableVersion="3" recordCount="0" supportSubquery="1" supportAdvancedDrill="1" xr:uid="{EBF23400-C88C-458A-857C-49248BAAD4CC}">
  <cacheSource type="external" connectionId="7"/>
  <cacheFields count="3">
    <cacheField name="[Measures].[Sum of Profit]" caption="Sum of Profit" numFmtId="0" hierarchy="60" level="32767"/>
    <cacheField name="[Measures].[Sum of Net Sale]" caption="Sum of Net Sale" numFmtId="0" hierarchy="59" level="32767"/>
    <cacheField name="[Sales_Table].[Order Date (Month)].[Order Date (Month)]" caption="Order Date (Month)" numFmtId="0" hierarchy="46" level="1">
      <sharedItems count="12">
        <s v="Jan"/>
        <s v="Feb"/>
        <s v="Mar"/>
        <s v="Apr"/>
        <s v="May"/>
        <s v="Jun"/>
        <s v="Jul"/>
        <s v="Aug"/>
        <s v="Sep"/>
        <s v="Oct"/>
        <s v="Nov"/>
        <s v="Dec"/>
      </sharedItems>
    </cacheField>
  </cacheFields>
  <cacheHierarchies count="6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ustomer Type]" caption="Customer Type" attribute="1" defaultMemberUniqueName="[Customers].[Customer Type].[All]" allUniqueName="[Customers].[Customer Typ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130" unbalanced="0"/>
    <cacheHierarchy uniqueName="[Employees].[Employee Name]" caption="Employee Name" attribute="1" defaultMemberUniqueName="[Employees].[Employee Name].[All]" allUniqueName="[Employees].[Employee 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Joining Date]" caption="Joining Date" attribute="1" time="1" defaultMemberUniqueName="[Employees].[Joining Date].[All]" allUniqueName="[Employees].[Joining Date].[All]" dimensionUniqueName="[Employees]" displayFolder="" count="0" memberValueDatatype="7"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tandard Cost]" caption="Standard Cost" attribute="1" defaultMemberUniqueName="[Products].[Standard Cost].[All]" allUniqueName="[Products].[Standard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Returns].[Return ID]" caption="Return ID" attribute="1" defaultMemberUniqueName="[Returns].[Return ID].[All]" allUniqueName="[Returns].[Return I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 Date]" caption="Return Date" attribute="1" time="1" defaultMemberUniqueName="[Returns].[Return Date].[All]" allUniqueName="[Returns].[Return Date].[All]" dimensionUniqueName="[Returns]" displayFolder="" count="0" memberValueDatatype="7" unbalanced="0"/>
    <cacheHierarchy uniqueName="[Returns].[Return Qty]" caption="Return Qty" attribute="1" defaultMemberUniqueName="[Returns].[Return Qty].[All]" allUniqueName="[Returns].[Return Qty].[All]" dimensionUniqueName="[Returns]" displayFolder="" count="0" memberValueDatatype="20" unbalanced="0"/>
    <cacheHierarchy uniqueName="[Returns].[Return Reason]" caption="Return Reason" attribute="1" defaultMemberUniqueName="[Returns].[Return Reason].[All]" allUniqueName="[Returns].[Return Reason].[All]" dimensionUniqueName="[Returns]" displayFolder="" count="0" memberValueDatatype="13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Employee ID]" caption="Employee ID" attribute="1" defaultMemberUniqueName="[Sales_Table].[Employee ID].[All]" allUniqueName="[Sales_Table].[Employee ID].[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2" memberValueDatatype="130" unbalanced="0"/>
    <cacheHierarchy uniqueName="[Sales_Table].[Order Status]" caption="Order Status" attribute="1" defaultMemberUniqueName="[Sales_Table].[Order Status].[All]" allUniqueName="[Sales_Table].[Order Status].[All]" dimensionUniqueName="[Sales_Table]" displayFolder="" count="0" memberValueDatatype="130" unbalanced="0"/>
    <cacheHierarchy uniqueName="[Sales_Table].[Payment Mode]" caption="Payment Mode" attribute="1" defaultMemberUniqueName="[Sales_Table].[Payment Mode].[All]" allUniqueName="[Sales_Table].[Payment Mod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20" unbalanced="0"/>
    <cacheHierarchy uniqueName="[Sales_Table].[Discount %]" caption="Discount %" attribute="1" defaultMemberUniqueName="[Sales_Table].[Discount %].[All]" allUniqueName="[Sales_Table].[Discount %].[All]" dimensionUniqueName="[Sales_Table]" displayFolder="" count="0" memberValueDatatype="5"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Employee Name]" caption="Employee Name" attribute="1" defaultMemberUniqueName="[Sales_Table].[Employee Name].[All]" allUniqueName="[Sales_Table].[Employee Name].[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Gross Sales]" caption="Gross Sales" attribute="1" defaultMemberUniqueName="[Sales_Table].[Gross Sales].[All]" allUniqueName="[Sales_Table].[Gross Sales].[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20" unbalanced="0"/>
    <cacheHierarchy uniqueName="[Sales_Table].[Net Sale]" caption="Net Sale" attribute="1" defaultMemberUniqueName="[Sales_Table].[Net Sale].[All]" allUniqueName="[Sales_Table].[Net Sale].[All]" dimensionUniqueName="[Sales_Table]" displayFolder="" count="0" memberValueDatatype="20" unbalanced="0"/>
    <cacheHierarchy uniqueName="[Sales_Table].[Total Cost]" caption="Total Cost" attribute="1" defaultMemberUniqueName="[Sales_Table].[Total Cost].[All]" allUniqueName="[Sales_Table].[Total Cos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Month]" caption="Month" attribute="1" defaultMemberUniqueName="[Sales_Table].[Month].[All]" allUniqueName="[Sales_Table].[Month].[All]" dimensionUniqueName="[Sales_Table]" displayFolder="" count="0" memberValueDatatype="130" unbalanced="0"/>
    <cacheHierarchy uniqueName="[Sales_Table].[Year]" caption="Year" attribute="1" defaultMemberUniqueName="[Sales_Table].[Year].[All]" allUniqueName="[Sales_Table].[Year].[All]" dimensionUniqueName="[Sales_Table]" displayFolder="" count="0" memberValueDatatype="20" unbalanced="0"/>
    <cacheHierarchy uniqueName="[Sales_Table].[Days]" caption="Days" attribute="1" defaultMemberUniqueName="[Sales_Table].[Days].[All]" allUniqueName="[Sales_Table].[Days].[All]" dimensionUniqueName="[Sales_Table]" displayFolder="" count="0" memberValueDatatype="130" unbalanced="0"/>
    <cacheHierarchy uniqueName="[Sales_Table].[Weekned/Weekday]" caption="Weekned/Weekday" attribute="1" defaultMemberUniqueName="[Sales_Table].[Weekned/Weekday].[All]" allUniqueName="[Sales_Table].[Weekned/Weekday].[All]" dimensionUniqueName="[Sales_Table]" displayFolder="" count="0" memberValueDatatype="130" unbalanced="0"/>
    <cacheHierarchy uniqueName="[Sales_Table].[Sale Eligilblity]" caption="Sale Eligilblity" attribute="1" defaultMemberUniqueName="[Sales_Table].[Sale Eligilblity].[All]" allUniqueName="[Sales_Table].[Sale Eligilblity].[All]" dimensionUniqueName="[Sales_Table]" displayFolder="" count="0" memberValueDatatype="130" unbalanced="0"/>
    <cacheHierarchy uniqueName="[Sales_Table].[Retured]" caption="Retured" attribute="1" defaultMemberUniqueName="[Sales_Table].[Retured].[All]" allUniqueName="[Sales_Table].[Retured].[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fieldsUsage count="2">
        <fieldUsage x="-1"/>
        <fieldUsage x="2"/>
      </fieldsUsage>
    </cacheHierarchy>
    <cacheHierarchy uniqueName="[Targets].[Month]" caption="Month" attribute="1" time="1" defaultMemberUniqueName="[Targets].[Month].[All]" allUniqueName="[Targets].[Month].[All]" dimensionUniqueName="[Targets]" displayFolder="" count="0" memberValueDatatype="7" unbalanced="0"/>
    <cacheHierarchy uniqueName="[Targets].[Region]" caption="Region" attribute="1" defaultMemberUniqueName="[Targets].[Region].[All]" allUniqueName="[Targets].[Region].[All]" dimensionUniqueName="[Targets]" displayFolder="" count="0" memberValueDatatype="130" unbalanced="0"/>
    <cacheHierarchy uniqueName="[Targets].[Sales Target]" caption="Sales Target" attribute="1" defaultMemberUniqueName="[Targets].[Sales Target].[All]" allUniqueName="[Targets].[Sales Target].[All]" dimensionUniqueName="[Targets]" displayFolder="" count="0" memberValueDatatype="2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Targets]" caption="__XL_Count Targets" measure="1" displayFolder="" measureGroup="Targe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Quantity]" caption="Sum of Quantity" measure="1" displayFolder="" measureGroup="Sales_Table" count="0" hidden="1">
      <extLst>
        <ext xmlns:x15="http://schemas.microsoft.com/office/spreadsheetml/2010/11/main" uri="{B97F6D7D-B522-45F9-BDA1-12C45D357490}">
          <x15:cacheHierarchy aggregatedColumn="28"/>
        </ext>
      </extLst>
    </cacheHierarchy>
    <cacheHierarchy uniqueName="[Measures].[Sum of Net Sale]" caption="Sum of Net Sale" measure="1" displayFolder="" measureGroup="Sales_Tabl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_Table" count="0" oneField="1" hidden="1">
      <fieldsUsage count="1">
        <fieldUsage x="0"/>
      </fieldsUsage>
      <extLst>
        <ext xmlns:x15="http://schemas.microsoft.com/office/spreadsheetml/2010/11/main" uri="{B97F6D7D-B522-45F9-BDA1-12C45D357490}">
          <x15:cacheHierarchy aggregatedColumn="38"/>
        </ext>
      </extLst>
    </cacheHierarchy>
    <cacheHierarchy uniqueName="[Measures].[Count of Order ID]" caption="Count of Order ID" measure="1" displayFolder="" measureGroup="Sales_Table"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Returns" uniqueName="[Returns]" caption="Returns"/>
    <dimension name="Sales_Table" uniqueName="[Sales_Table]" caption="Sales_Table"/>
    <dimension name="Targets" uniqueName="[Targets]" caption="Targets"/>
  </dimensions>
  <measureGroups count="6">
    <measureGroup name="Customers" caption="Customers"/>
    <measureGroup name="Employees" caption="Employees"/>
    <measureGroup name="Products" caption="Products"/>
    <measureGroup name="Returns" caption="Returns"/>
    <measureGroup name="Sales_Table" caption="Sales_Table"/>
    <measureGroup name="Targets" caption="Targets"/>
  </measureGroups>
  <maps count="10">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mani venkatesh" refreshedDate="46286.448333101849" createdVersion="5" refreshedVersion="8" minRefreshableVersion="3" recordCount="0" supportSubquery="1" supportAdvancedDrill="1" xr:uid="{F1C20AF2-E0C9-4F23-8C7C-363754A52733}">
  <cacheSource type="external" connectionId="7"/>
  <cacheFields count="2">
    <cacheField name="[Sales_Table].[Order Status].[Order Status]" caption="Order Status" numFmtId="0" hierarchy="26" level="1">
      <sharedItems count="3">
        <s v="Cancelled"/>
        <s v="Delivered"/>
        <s v="Returned"/>
      </sharedItems>
    </cacheField>
    <cacheField name="[Measures].[Count of Order ID]" caption="Count of Order ID" numFmtId="0" hierarchy="61" level="32767"/>
  </cacheFields>
  <cacheHierarchies count="62">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Customer Type]" caption="Customer Type" attribute="1" defaultMemberUniqueName="[Customers].[Customer Type].[All]" allUniqueName="[Customers].[Customer Typ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Employees].[Employee ID]" caption="Employee ID" attribute="1" defaultMemberUniqueName="[Employees].[Employee ID].[All]" allUniqueName="[Employees].[Employee ID].[All]" dimensionUniqueName="[Employees]" displayFolder="" count="2" memberValueDatatype="130" unbalanced="0"/>
    <cacheHierarchy uniqueName="[Employees].[Employee Name]" caption="Employee Name" attribute="1" defaultMemberUniqueName="[Employees].[Employee Name].[All]" allUniqueName="[Employees].[Employee Name].[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Joining Date]" caption="Joining Date" attribute="1" time="1" defaultMemberUniqueName="[Employees].[Joining Date].[All]" allUniqueName="[Employees].[Joining Date].[All]" dimensionUniqueName="[Employees]" displayFolder="" count="2" memberValueDatatype="7"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Standard Cost]" caption="Standard Cost" attribute="1" defaultMemberUniqueName="[Products].[Standard Cost].[All]" allUniqueName="[Products].[Standard Cost].[All]" dimensionUniqueName="[Products]" displayFolder="" count="2" memberValueDatatype="20" unbalanced="0"/>
    <cacheHierarchy uniqueName="[Products].[Selling Price]" caption="Selling Price" attribute="1" defaultMemberUniqueName="[Products].[Selling Price].[All]" allUniqueName="[Products].[Selling Price].[All]" dimensionUniqueName="[Products]" displayFolder="" count="2" memberValueDatatype="20" unbalanced="0"/>
    <cacheHierarchy uniqueName="[Returns].[Return ID]" caption="Return ID" attribute="1" defaultMemberUniqueName="[Returns].[Return ID].[All]" allUniqueName="[Returns].[Return I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Returns].[Return Date]" caption="Return Date" attribute="1" time="1" defaultMemberUniqueName="[Returns].[Return Date].[All]" allUniqueName="[Returns].[Return Date].[All]" dimensionUniqueName="[Returns]" displayFolder="" count="2" memberValueDatatype="7" unbalanced="0"/>
    <cacheHierarchy uniqueName="[Returns].[Return Qty]" caption="Return Qty" attribute="1" defaultMemberUniqueName="[Returns].[Return Qty].[All]" allUniqueName="[Returns].[Return Qty].[All]" dimensionUniqueName="[Returns]" displayFolder="" count="2" memberValueDatatype="20" unbalanced="0"/>
    <cacheHierarchy uniqueName="[Returns].[Return Reason]" caption="Return Reason" attribute="1" defaultMemberUniqueName="[Returns].[Return Reason].[All]" allUniqueName="[Returns].[Return Reason].[All]" dimensionUniqueName="[Returns]" displayFolder="" count="2" memberValueDatatype="130" unbalanced="0"/>
    <cacheHierarchy uniqueName="[Sales_Table].[Order ID]" caption="Order ID" attribute="1" defaultMemberUniqueName="[Sales_Table].[Order ID].[All]" allUniqueName="[Sales_Table].[Order ID].[All]" dimensionUniqueName="[Sales_Table]" displayFolder="" count="2"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Customer ID]" caption="Customer ID" attribute="1" defaultMemberUniqueName="[Sales_Table].[Customer ID].[All]" allUniqueName="[Sales_Table].[Customer ID].[All]" dimensionUniqueName="[Sales_Table]" displayFolder="" count="2" memberValueDatatype="130" unbalanced="0"/>
    <cacheHierarchy uniqueName="[Sales_Table].[Product ID]" caption="Product ID" attribute="1" defaultMemberUniqueName="[Sales_Table].[Product ID].[All]" allUniqueName="[Sales_Table].[Product ID].[All]" dimensionUniqueName="[Sales_Table]" displayFolder="" count="2" memberValueDatatype="130" unbalanced="0"/>
    <cacheHierarchy uniqueName="[Sales_Table].[Employee ID]" caption="Employee ID" attribute="1" defaultMemberUniqueName="[Sales_Table].[Employee ID].[All]" allUniqueName="[Sales_Table].[Employee ID].[All]" dimensionUniqueName="[Sales_Table]" displayFolder="" count="2" memberValueDatatype="130" unbalanced="0"/>
    <cacheHierarchy uniqueName="[Sales_Table].[Region]" caption="Region" attribute="1" defaultMemberUniqueName="[Sales_Table].[Region].[All]" allUniqueName="[Sales_Table].[Region].[All]" dimensionUniqueName="[Sales_Table]" displayFolder="" count="2" memberValueDatatype="130" unbalanced="0"/>
    <cacheHierarchy uniqueName="[Sales_Table].[Order Status]" caption="Order Status" attribute="1" defaultMemberUniqueName="[Sales_Table].[Order Status].[All]" allUniqueName="[Sales_Table].[Order Status].[All]" dimensionUniqueName="[Sales_Table]" displayFolder="" count="2" memberValueDatatype="130" unbalanced="0">
      <fieldsUsage count="2">
        <fieldUsage x="-1"/>
        <fieldUsage x="0"/>
      </fieldsUsage>
    </cacheHierarchy>
    <cacheHierarchy uniqueName="[Sales_Table].[Payment Mode]" caption="Payment Mode" attribute="1" defaultMemberUniqueName="[Sales_Table].[Payment Mode].[All]" allUniqueName="[Sales_Table].[Payment Mode].[All]" dimensionUniqueName="[Sales_Table]" displayFolder="" count="2" memberValueDatatype="130" unbalanced="0"/>
    <cacheHierarchy uniqueName="[Sales_Table].[Quantity]" caption="Quantity" attribute="1" defaultMemberUniqueName="[Sales_Table].[Quantity].[All]" allUniqueName="[Sales_Table].[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20" unbalanced="0"/>
    <cacheHierarchy uniqueName="[Sales_Table].[Discount %]" caption="Discount %" attribute="1" defaultMemberUniqueName="[Sales_Table].[Discount %].[All]" allUniqueName="[Sales_Table].[Discount %].[All]" dimensionUniqueName="[Sales_Table]" displayFolder="" count="2" memberValueDatatype="5" unbalanced="0"/>
    <cacheHierarchy uniqueName="[Sales_Table].[Product Name]" caption="Product Name" attribute="1" defaultMemberUniqueName="[Sales_Table].[Product Name].[All]" allUniqueName="[Sales_Table].[Product Name].[All]" dimensionUniqueName="[Sales_Table]" displayFolder="" count="2" memberValueDatatype="130" unbalanced="0"/>
    <cacheHierarchy uniqueName="[Sales_Table].[Employee Name]" caption="Employee Name" attribute="1" defaultMemberUniqueName="[Sales_Table].[Employee Name].[All]" allUniqueName="[Sales_Table].[Employee Name].[All]" dimensionUniqueName="[Sales_Table]" displayFolder="" count="2" memberValueDatatype="130" unbalanced="0"/>
    <cacheHierarchy uniqueName="[Sales_Table].[Customer Name]" caption="Customer Name" attribute="1" defaultMemberUniqueName="[Sales_Table].[Customer Name].[All]" allUniqueName="[Sales_Table].[Customer Name].[All]" dimensionUniqueName="[Sales_Table]" displayFolder="" count="2" memberValueDatatype="130" unbalanced="0"/>
    <cacheHierarchy uniqueName="[Sales_Table].[Gross Sales]" caption="Gross Sales" attribute="1" defaultMemberUniqueName="[Sales_Table].[Gross Sales].[All]" allUniqueName="[Sales_Table].[Gross Sales].[All]" dimensionUniqueName="[Sales_Table]" displayFolder="" count="2" memberValueDatatype="20" unbalanced="0"/>
    <cacheHierarchy uniqueName="[Sales_Table].[Discount]" caption="Discount" attribute="1" defaultMemberUniqueName="[Sales_Table].[Discount].[All]" allUniqueName="[Sales_Table].[Discount].[All]" dimensionUniqueName="[Sales_Table]" displayFolder="" count="2" memberValueDatatype="20" unbalanced="0"/>
    <cacheHierarchy uniqueName="[Sales_Table].[Net Sale]" caption="Net Sale" attribute="1" defaultMemberUniqueName="[Sales_Table].[Net Sale].[All]" allUniqueName="[Sales_Table].[Net Sale].[All]" dimensionUniqueName="[Sales_Table]" displayFolder="" count="2" memberValueDatatype="20" unbalanced="0"/>
    <cacheHierarchy uniqueName="[Sales_Table].[Total Cost]" caption="Total Cost" attribute="1" defaultMemberUniqueName="[Sales_Table].[Total Cost].[All]" allUniqueName="[Sales_Table].[Total Cost].[All]" dimensionUniqueName="[Sales_Table]" displayFolder="" count="2" memberValueDatatype="20" unbalanced="0"/>
    <cacheHierarchy uniqueName="[Sales_Table].[Profit]" caption="Profit" attribute="1" defaultMemberUniqueName="[Sales_Table].[Profit].[All]" allUniqueName="[Sales_Table].[Profit].[All]" dimensionUniqueName="[Sales_Table]" displayFolder="" count="2" memberValueDatatype="20"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Month]" caption="Month" attribute="1" defaultMemberUniqueName="[Sales_Table].[Month].[All]" allUniqueName="[Sales_Table].[Month].[All]" dimensionUniqueName="[Sales_Table]" displayFolder="" count="2" memberValueDatatype="130" unbalanced="0"/>
    <cacheHierarchy uniqueName="[Sales_Table].[Year]" caption="Year" attribute="1" defaultMemberUniqueName="[Sales_Table].[Year].[All]" allUniqueName="[Sales_Table].[Year].[All]" dimensionUniqueName="[Sales_Table]" displayFolder="" count="2" memberValueDatatype="20" unbalanced="0"/>
    <cacheHierarchy uniqueName="[Sales_Table].[Days]" caption="Days" attribute="1" defaultMemberUniqueName="[Sales_Table].[Days].[All]" allUniqueName="[Sales_Table].[Days].[All]" dimensionUniqueName="[Sales_Table]" displayFolder="" count="2" memberValueDatatype="130" unbalanced="0"/>
    <cacheHierarchy uniqueName="[Sales_Table].[Weekned/Weekday]" caption="Weekned/Weekday" attribute="1" defaultMemberUniqueName="[Sales_Table].[Weekned/Weekday].[All]" allUniqueName="[Sales_Table].[Weekned/Weekday].[All]" dimensionUniqueName="[Sales_Table]" displayFolder="" count="2" memberValueDatatype="130" unbalanced="0"/>
    <cacheHierarchy uniqueName="[Sales_Table].[Sale Eligilblity]" caption="Sale Eligilblity" attribute="1" defaultMemberUniqueName="[Sales_Table].[Sale Eligilblity].[All]" allUniqueName="[Sales_Table].[Sale Eligilblity].[All]" dimensionUniqueName="[Sales_Table]" displayFolder="" count="2" memberValueDatatype="130" unbalanced="0"/>
    <cacheHierarchy uniqueName="[Sales_Table].[Retured]" caption="Retured" attribute="1" defaultMemberUniqueName="[Sales_Table].[Retured].[All]" allUniqueName="[Sales_Table].[Retured].[All]" dimensionUniqueName="[Sales_Table]" displayFolder="" count="2"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cacheHierarchy uniqueName="[Targets].[Month]" caption="Month" attribute="1" time="1" defaultMemberUniqueName="[Targets].[Month].[All]" allUniqueName="[Targets].[Month].[All]" dimensionUniqueName="[Targets]" displayFolder="" count="2" memberValueDatatype="7" unbalanced="0"/>
    <cacheHierarchy uniqueName="[Targets].[Region]" caption="Region" attribute="1" defaultMemberUniqueName="[Targets].[Region].[All]" allUniqueName="[Targets].[Region].[All]" dimensionUniqueName="[Targets]" displayFolder="" count="2" memberValueDatatype="130" unbalanced="0"/>
    <cacheHierarchy uniqueName="[Targets].[Sales Target]" caption="Sales Target" attribute="1" defaultMemberUniqueName="[Targets].[Sales Target].[All]" allUniqueName="[Targets].[Sales Target].[All]" dimensionUniqueName="[Targets]" displayFolder="" count="2" memberValueDatatype="20" unbalanced="0"/>
    <cacheHierarchy uniqueName="[Sales_Table].[Order Date (Month Index)]" caption="Order Date (Month Index)" attribute="1" defaultMemberUniqueName="[Sales_Table].[Order Date (Month Index)].[All]" allUniqueName="[Sales_Table].[Order Date (Month Index)].[All]" dimensionUniqueName="[Sales_Table]" displayFolder="" count="2"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Targets]" caption="__XL_Count Targets" measure="1" displayFolder="" measureGroup="Targe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Quantity]" caption="Sum of Quantity" measure="1" displayFolder="" measureGroup="Sales_Table" count="0" hidden="1">
      <extLst>
        <ext xmlns:x15="http://schemas.microsoft.com/office/spreadsheetml/2010/11/main" uri="{B97F6D7D-B522-45F9-BDA1-12C45D357490}">
          <x15:cacheHierarchy aggregatedColumn="28"/>
        </ext>
      </extLst>
    </cacheHierarchy>
    <cacheHierarchy uniqueName="[Measures].[Sum of Net Sale]" caption="Sum of Net Sale" measure="1" displayFolder="" measureGroup="Sales_Table"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38"/>
        </ext>
      </extLst>
    </cacheHierarchy>
    <cacheHierarchy uniqueName="[Measures].[Count of Order ID]" caption="Count of Order ID" measure="1" displayFolder="" measureGroup="Sales_Tabl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Returns" uniqueName="[Returns]" caption="Returns"/>
    <dimension name="Sales_Table" uniqueName="[Sales_Table]" caption="Sales_Table"/>
    <dimension name="Targets" uniqueName="[Targets]" caption="Targets"/>
  </dimensions>
  <measureGroups count="6">
    <measureGroup name="Customers" caption="Customers"/>
    <measureGroup name="Employees" caption="Employees"/>
    <measureGroup name="Products" caption="Products"/>
    <measureGroup name="Returns" caption="Returns"/>
    <measureGroup name="Sales_Table" caption="Sales_Table"/>
    <measureGroup name="Targets" caption="Targets"/>
  </measureGroups>
  <maps count="10">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mani venkatesh" refreshedDate="46286.448333564818" createdVersion="5" refreshedVersion="8" minRefreshableVersion="3" recordCount="0" supportSubquery="1" supportAdvancedDrill="1" xr:uid="{043BBF9D-E617-4C89-BF0F-D21C07FA12B3}">
  <cacheSource type="external" connectionId="7"/>
  <cacheFields count="4">
    <cacheField name="[Measures].[Sum of Quantity]" caption="Sum of Quantity" numFmtId="0" hierarchy="58" level="32767"/>
    <cacheField name="[Measures].[Sum of Net Sale]" caption="Sum of Net Sale" numFmtId="0" hierarchy="59" level="32767"/>
    <cacheField name="[Measures].[Sum of Profit]" caption="Sum of Profit" numFmtId="0" hierarchy="60" level="32767"/>
    <cacheField name="[Sales_Table].[Product Name].[Product Name]" caption="Product Name" numFmtId="0" hierarchy="31" level="1">
      <sharedItems count="6">
        <s v="Headset"/>
        <s v="Keyboard"/>
        <s v="Laptop"/>
        <s v="Monitor"/>
        <s v="Mouse"/>
        <s v="Printer"/>
      </sharedItems>
    </cacheField>
  </cacheFields>
  <cacheHierarchies count="6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ustomer Type]" caption="Customer Type" attribute="1" defaultMemberUniqueName="[Customers].[Customer Type].[All]" allUniqueName="[Customers].[Customer Typ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130" unbalanced="0"/>
    <cacheHierarchy uniqueName="[Employees].[Employee Name]" caption="Employee Name" attribute="1" defaultMemberUniqueName="[Employees].[Employee Name].[All]" allUniqueName="[Employees].[Employee 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Joining Date]" caption="Joining Date" attribute="1" time="1" defaultMemberUniqueName="[Employees].[Joining Date].[All]" allUniqueName="[Employees].[Joining Date].[All]" dimensionUniqueName="[Employees]" displayFolder="" count="0" memberValueDatatype="7"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tandard Cost]" caption="Standard Cost" attribute="1" defaultMemberUniqueName="[Products].[Standard Cost].[All]" allUniqueName="[Products].[Standard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Returns].[Return ID]" caption="Return ID" attribute="1" defaultMemberUniqueName="[Returns].[Return ID].[All]" allUniqueName="[Returns].[Return I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 Date]" caption="Return Date" attribute="1" time="1" defaultMemberUniqueName="[Returns].[Return Date].[All]" allUniqueName="[Returns].[Return Date].[All]" dimensionUniqueName="[Returns]" displayFolder="" count="0" memberValueDatatype="7" unbalanced="0"/>
    <cacheHierarchy uniqueName="[Returns].[Return Qty]" caption="Return Qty" attribute="1" defaultMemberUniqueName="[Returns].[Return Qty].[All]" allUniqueName="[Returns].[Return Qty].[All]" dimensionUniqueName="[Returns]" displayFolder="" count="0" memberValueDatatype="20" unbalanced="0"/>
    <cacheHierarchy uniqueName="[Returns].[Return Reason]" caption="Return Reason" attribute="1" defaultMemberUniqueName="[Returns].[Return Reason].[All]" allUniqueName="[Returns].[Return Reason].[All]" dimensionUniqueName="[Returns]" displayFolder="" count="0" memberValueDatatype="13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Employee ID]" caption="Employee ID" attribute="1" defaultMemberUniqueName="[Sales_Table].[Employee ID].[All]" allUniqueName="[Sales_Table].[Employee ID].[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2" memberValueDatatype="130" unbalanced="0"/>
    <cacheHierarchy uniqueName="[Sales_Table].[Order Status]" caption="Order Status" attribute="1" defaultMemberUniqueName="[Sales_Table].[Order Status].[All]" allUniqueName="[Sales_Table].[Order Status].[All]" dimensionUniqueName="[Sales_Table]" displayFolder="" count="0" memberValueDatatype="130" unbalanced="0"/>
    <cacheHierarchy uniqueName="[Sales_Table].[Payment Mode]" caption="Payment Mode" attribute="1" defaultMemberUniqueName="[Sales_Table].[Payment Mode].[All]" allUniqueName="[Sales_Table].[Payment Mod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20" unbalanced="0"/>
    <cacheHierarchy uniqueName="[Sales_Table].[Discount %]" caption="Discount %" attribute="1" defaultMemberUniqueName="[Sales_Table].[Discount %].[All]" allUniqueName="[Sales_Table].[Discount %].[All]" dimensionUniqueName="[Sales_Table]" displayFolder="" count="0" memberValueDatatype="5" unbalanced="0"/>
    <cacheHierarchy uniqueName="[Sales_Table].[Product Name]" caption="Product Name" attribute="1" defaultMemberUniqueName="[Sales_Table].[Product Name].[All]" allUniqueName="[Sales_Table].[Product Name].[All]" dimensionUniqueName="[Sales_Table]" displayFolder="" count="2" memberValueDatatype="130" unbalanced="0">
      <fieldsUsage count="2">
        <fieldUsage x="-1"/>
        <fieldUsage x="3"/>
      </fieldsUsage>
    </cacheHierarchy>
    <cacheHierarchy uniqueName="[Sales_Table].[Employee Name]" caption="Employee Name" attribute="1" defaultMemberUniqueName="[Sales_Table].[Employee Name].[All]" allUniqueName="[Sales_Table].[Employee Name].[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Gross Sales]" caption="Gross Sales" attribute="1" defaultMemberUniqueName="[Sales_Table].[Gross Sales].[All]" allUniqueName="[Sales_Table].[Gross Sales].[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20" unbalanced="0"/>
    <cacheHierarchy uniqueName="[Sales_Table].[Net Sale]" caption="Net Sale" attribute="1" defaultMemberUniqueName="[Sales_Table].[Net Sale].[All]" allUniqueName="[Sales_Table].[Net Sale].[All]" dimensionUniqueName="[Sales_Table]" displayFolder="" count="0" memberValueDatatype="20" unbalanced="0"/>
    <cacheHierarchy uniqueName="[Sales_Table].[Total Cost]" caption="Total Cost" attribute="1" defaultMemberUniqueName="[Sales_Table].[Total Cost].[All]" allUniqueName="[Sales_Table].[Total Cos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Month]" caption="Month" attribute="1" defaultMemberUniqueName="[Sales_Table].[Month].[All]" allUniqueName="[Sales_Table].[Month].[All]" dimensionUniqueName="[Sales_Table]" displayFolder="" count="0" memberValueDatatype="130" unbalanced="0"/>
    <cacheHierarchy uniqueName="[Sales_Table].[Year]" caption="Year" attribute="1" defaultMemberUniqueName="[Sales_Table].[Year].[All]" allUniqueName="[Sales_Table].[Year].[All]" dimensionUniqueName="[Sales_Table]" displayFolder="" count="0" memberValueDatatype="20" unbalanced="0"/>
    <cacheHierarchy uniqueName="[Sales_Table].[Days]" caption="Days" attribute="1" defaultMemberUniqueName="[Sales_Table].[Days].[All]" allUniqueName="[Sales_Table].[Days].[All]" dimensionUniqueName="[Sales_Table]" displayFolder="" count="0" memberValueDatatype="130" unbalanced="0"/>
    <cacheHierarchy uniqueName="[Sales_Table].[Weekned/Weekday]" caption="Weekned/Weekday" attribute="1" defaultMemberUniqueName="[Sales_Table].[Weekned/Weekday].[All]" allUniqueName="[Sales_Table].[Weekned/Weekday].[All]" dimensionUniqueName="[Sales_Table]" displayFolder="" count="0" memberValueDatatype="130" unbalanced="0"/>
    <cacheHierarchy uniqueName="[Sales_Table].[Sale Eligilblity]" caption="Sale Eligilblity" attribute="1" defaultMemberUniqueName="[Sales_Table].[Sale Eligilblity].[All]" allUniqueName="[Sales_Table].[Sale Eligilblity].[All]" dimensionUniqueName="[Sales_Table]" displayFolder="" count="0" memberValueDatatype="130" unbalanced="0"/>
    <cacheHierarchy uniqueName="[Sales_Table].[Retured]" caption="Retured" attribute="1" defaultMemberUniqueName="[Sales_Table].[Retured].[All]" allUniqueName="[Sales_Table].[Retured].[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Targets].[Month]" caption="Month" attribute="1" time="1" defaultMemberUniqueName="[Targets].[Month].[All]" allUniqueName="[Targets].[Month].[All]" dimensionUniqueName="[Targets]" displayFolder="" count="0" memberValueDatatype="7" unbalanced="0"/>
    <cacheHierarchy uniqueName="[Targets].[Region]" caption="Region" attribute="1" defaultMemberUniqueName="[Targets].[Region].[All]" allUniqueName="[Targets].[Region].[All]" dimensionUniqueName="[Targets]" displayFolder="" count="0" memberValueDatatype="130" unbalanced="0"/>
    <cacheHierarchy uniqueName="[Targets].[Sales Target]" caption="Sales Target" attribute="1" defaultMemberUniqueName="[Targets].[Sales Target].[All]" allUniqueName="[Targets].[Sales Target].[All]" dimensionUniqueName="[Targets]" displayFolder="" count="0" memberValueDatatype="2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Targets]" caption="__XL_Count Targets" measure="1" displayFolder="" measureGroup="Targe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Quantity]" caption="Sum of Quantity" measure="1" displayFolder="" measureGroup="Sales_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Net Sale]" caption="Sum of Net Sale" measure="1" displayFolder="" measureGroup="Sales_Tabl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_Table" count="0" oneField="1" hidden="1">
      <fieldsUsage count="1">
        <fieldUsage x="2"/>
      </fieldsUsage>
      <extLst>
        <ext xmlns:x15="http://schemas.microsoft.com/office/spreadsheetml/2010/11/main" uri="{B97F6D7D-B522-45F9-BDA1-12C45D357490}">
          <x15:cacheHierarchy aggregatedColumn="38"/>
        </ext>
      </extLst>
    </cacheHierarchy>
    <cacheHierarchy uniqueName="[Measures].[Count of Order ID]" caption="Count of Order ID" measure="1" displayFolder="" measureGroup="Sales_Table" count="0" hidden="1">
      <extLst>
        <ext xmlns:x15="http://schemas.microsoft.com/office/spreadsheetml/2010/11/main" uri="{B97F6D7D-B522-45F9-BDA1-12C45D357490}">
          <x15:cacheHierarchy aggregatedColumn="20"/>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Returns" uniqueName="[Returns]" caption="Returns"/>
    <dimension name="Sales_Table" uniqueName="[Sales_Table]" caption="Sales_Table"/>
    <dimension name="Targets" uniqueName="[Targets]" caption="Targets"/>
  </dimensions>
  <measureGroups count="6">
    <measureGroup name="Customers" caption="Customers"/>
    <measureGroup name="Employees" caption="Employees"/>
    <measureGroup name="Products" caption="Products"/>
    <measureGroup name="Returns" caption="Returns"/>
    <measureGroup name="Sales_Table" caption="Sales_Table"/>
    <measureGroup name="Targets" caption="Targets"/>
  </measureGroups>
  <maps count="10">
    <map measureGroup="0" dimension="0"/>
    <map measureGroup="1" dimension="1"/>
    <map measureGroup="2"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mani venkatesh" refreshedDate="46285.797056481482" createdVersion="3" refreshedVersion="8" minRefreshableVersion="3" recordCount="0" supportSubquery="1" supportAdvancedDrill="1" xr:uid="{A5513F0F-1A3C-4DCC-925E-CFD83C0E8BEA}">
  <cacheSource type="external" connectionId="7">
    <extLst>
      <ext xmlns:x14="http://schemas.microsoft.com/office/spreadsheetml/2009/9/main" uri="{F057638F-6D5F-4e77-A914-E7F072B9BCA8}">
        <x14:sourceConnection name="ThisWorkbookDataModel"/>
      </ext>
    </extLst>
  </cacheSource>
  <cacheFields count="0"/>
  <cacheHierarchies count="6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ustomer Type]" caption="Customer Type" attribute="1" defaultMemberUniqueName="[Customers].[Customer Type].[All]" allUniqueName="[Customers].[Customer Typ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130" unbalanced="0"/>
    <cacheHierarchy uniqueName="[Employees].[Employee Name]" caption="Employee Name" attribute="1" defaultMemberUniqueName="[Employees].[Employee Name].[All]" allUniqueName="[Employees].[Employee 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Joining Date]" caption="Joining Date" attribute="1" time="1" defaultMemberUniqueName="[Employees].[Joining Date].[All]" allUniqueName="[Employees].[Joining Date].[All]" dimensionUniqueName="[Employees]" displayFolder="" count="0" memberValueDatatype="7"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tandard Cost]" caption="Standard Cost" attribute="1" defaultMemberUniqueName="[Products].[Standard Cost].[All]" allUniqueName="[Products].[Standard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Returns].[Return ID]" caption="Return ID" attribute="1" defaultMemberUniqueName="[Returns].[Return ID].[All]" allUniqueName="[Returns].[Return I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 Date]" caption="Return Date" attribute="1" time="1" defaultMemberUniqueName="[Returns].[Return Date].[All]" allUniqueName="[Returns].[Return Date].[All]" dimensionUniqueName="[Returns]" displayFolder="" count="0" memberValueDatatype="7" unbalanced="0"/>
    <cacheHierarchy uniqueName="[Returns].[Return Qty]" caption="Return Qty" attribute="1" defaultMemberUniqueName="[Returns].[Return Qty].[All]" allUniqueName="[Returns].[Return Qty].[All]" dimensionUniqueName="[Returns]" displayFolder="" count="0" memberValueDatatype="20" unbalanced="0"/>
    <cacheHierarchy uniqueName="[Returns].[Return Reason]" caption="Return Reason" attribute="1" defaultMemberUniqueName="[Returns].[Return Reason].[All]" allUniqueName="[Returns].[Return Reason].[All]" dimensionUniqueName="[Returns]" displayFolder="" count="0" memberValueDatatype="13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Employee ID]" caption="Employee ID" attribute="1" defaultMemberUniqueName="[Sales_Table].[Employee ID].[All]" allUniqueName="[Sales_Table].[Employee ID].[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2" memberValueDatatype="130" unbalanced="0"/>
    <cacheHierarchy uniqueName="[Sales_Table].[Order Status]" caption="Order Status" attribute="1" defaultMemberUniqueName="[Sales_Table].[Order Status].[All]" allUniqueName="[Sales_Table].[Order Status].[All]" dimensionUniqueName="[Sales_Table]" displayFolder="" count="0" memberValueDatatype="130" unbalanced="0"/>
    <cacheHierarchy uniqueName="[Sales_Table].[Payment Mode]" caption="Payment Mode" attribute="1" defaultMemberUniqueName="[Sales_Table].[Payment Mode].[All]" allUniqueName="[Sales_Table].[Payment Mod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20" unbalanced="0"/>
    <cacheHierarchy uniqueName="[Sales_Table].[Discount %]" caption="Discount %" attribute="1" defaultMemberUniqueName="[Sales_Table].[Discount %].[All]" allUniqueName="[Sales_Table].[Discount %].[All]" dimensionUniqueName="[Sales_Table]" displayFolder="" count="0" memberValueDatatype="5"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Employee Name]" caption="Employee Name" attribute="1" defaultMemberUniqueName="[Sales_Table].[Employee Name].[All]" allUniqueName="[Sales_Table].[Employee Name].[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Gross Sales]" caption="Gross Sales" attribute="1" defaultMemberUniqueName="[Sales_Table].[Gross Sales].[All]" allUniqueName="[Sales_Table].[Gross Sales].[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20" unbalanced="0"/>
    <cacheHierarchy uniqueName="[Sales_Table].[Net Sale]" caption="Net Sale" attribute="1" defaultMemberUniqueName="[Sales_Table].[Net Sale].[All]" allUniqueName="[Sales_Table].[Net Sale].[All]" dimensionUniqueName="[Sales_Table]" displayFolder="" count="0" memberValueDatatype="20" unbalanced="0"/>
    <cacheHierarchy uniqueName="[Sales_Table].[Total Cost]" caption="Total Cost" attribute="1" defaultMemberUniqueName="[Sales_Table].[Total Cost].[All]" allUniqueName="[Sales_Table].[Total Cos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Month]" caption="Month" attribute="1" defaultMemberUniqueName="[Sales_Table].[Month].[All]" allUniqueName="[Sales_Table].[Month].[All]" dimensionUniqueName="[Sales_Table]" displayFolder="" count="0" memberValueDatatype="130" unbalanced="0"/>
    <cacheHierarchy uniqueName="[Sales_Table].[Year]" caption="Year" attribute="1" defaultMemberUniqueName="[Sales_Table].[Year].[All]" allUniqueName="[Sales_Table].[Year].[All]" dimensionUniqueName="[Sales_Table]" displayFolder="" count="0" memberValueDatatype="20" unbalanced="0"/>
    <cacheHierarchy uniqueName="[Sales_Table].[Days]" caption="Days" attribute="1" defaultMemberUniqueName="[Sales_Table].[Days].[All]" allUniqueName="[Sales_Table].[Days].[All]" dimensionUniqueName="[Sales_Table]" displayFolder="" count="0" memberValueDatatype="130" unbalanced="0"/>
    <cacheHierarchy uniqueName="[Sales_Table].[Weekned/Weekday]" caption="Weekned/Weekday" attribute="1" defaultMemberUniqueName="[Sales_Table].[Weekned/Weekday].[All]" allUniqueName="[Sales_Table].[Weekned/Weekday].[All]" dimensionUniqueName="[Sales_Table]" displayFolder="" count="0" memberValueDatatype="130" unbalanced="0"/>
    <cacheHierarchy uniqueName="[Sales_Table].[Sale Eligilblity]" caption="Sale Eligilblity" attribute="1" defaultMemberUniqueName="[Sales_Table].[Sale Eligilblity].[All]" allUniqueName="[Sales_Table].[Sale Eligilblity].[All]" dimensionUniqueName="[Sales_Table]" displayFolder="" count="0" memberValueDatatype="130" unbalanced="0"/>
    <cacheHierarchy uniqueName="[Sales_Table].[Retured]" caption="Retured" attribute="1" defaultMemberUniqueName="[Sales_Table].[Retured].[All]" allUniqueName="[Sales_Table].[Retured].[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Targets].[Month]" caption="Month" attribute="1" time="1" defaultMemberUniqueName="[Targets].[Month].[All]" allUniqueName="[Targets].[Month].[All]" dimensionUniqueName="[Targets]" displayFolder="" count="0" memberValueDatatype="7" unbalanced="0"/>
    <cacheHierarchy uniqueName="[Targets].[Region]" caption="Region" attribute="1" defaultMemberUniqueName="[Targets].[Region].[All]" allUniqueName="[Targets].[Region].[All]" dimensionUniqueName="[Targets]" displayFolder="" count="0" memberValueDatatype="130" unbalanced="0"/>
    <cacheHierarchy uniqueName="[Targets].[Sales Target]" caption="Sales Target" attribute="1" defaultMemberUniqueName="[Targets].[Sales Target].[All]" allUniqueName="[Targets].[Sales Target].[All]" dimensionUniqueName="[Targets]" displayFolder="" count="0" memberValueDatatype="2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Targets]" caption="__XL_Count Targets" measure="1" displayFolder="" measureGroup="Targe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Quantity]" caption="Sum of Quantity" measure="1" displayFolder="" measureGroup="Sales_Table" count="0" hidden="1">
      <extLst>
        <ext xmlns:x15="http://schemas.microsoft.com/office/spreadsheetml/2010/11/main" uri="{B97F6D7D-B522-45F9-BDA1-12C45D357490}">
          <x15:cacheHierarchy aggregatedColumn="28"/>
        </ext>
      </extLst>
    </cacheHierarchy>
    <cacheHierarchy uniqueName="[Measures].[Sum of Net Sale]" caption="Sum of Net Sale" measure="1" displayFolder="" measureGroup="Sales_Table"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38"/>
        </ext>
      </extLst>
    </cacheHierarchy>
    <cacheHierarchy uniqueName="[Measures].[Count of Order ID]" caption="Count of Order ID" measure="1" displayFolder="" measureGroup="Sales_Tabl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36914843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amani venkatesh" refreshedDate="46285.715380324073" createdVersion="3" refreshedVersion="8" minRefreshableVersion="3" recordCount="0" supportSubquery="1" supportAdvancedDrill="1" xr:uid="{5B9E8C8A-42FC-4B91-AD1F-42BA7FDD12B5}">
  <cacheSource type="external" connectionId="7">
    <extLst>
      <ext xmlns:x14="http://schemas.microsoft.com/office/spreadsheetml/2009/9/main" uri="{F057638F-6D5F-4e77-A914-E7F072B9BCA8}">
        <x14:sourceConnection name="ThisWorkbookDataModel"/>
      </ext>
    </extLst>
  </cacheSource>
  <cacheFields count="0"/>
  <cacheHierarchies count="6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Customer Type]" caption="Customer Type" attribute="1" defaultMemberUniqueName="[Customers].[Customer Type].[All]" allUniqueName="[Customers].[Customer Typ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130" unbalanced="0"/>
    <cacheHierarchy uniqueName="[Employees].[Employee Name]" caption="Employee Name" attribute="1" defaultMemberUniqueName="[Employees].[Employee Name].[All]" allUniqueName="[Employees].[Employee Name].[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Joining Date]" caption="Joining Date" attribute="1" time="1" defaultMemberUniqueName="[Employees].[Joining Date].[All]" allUniqueName="[Employees].[Joining Date].[All]" dimensionUniqueName="[Employees]" displayFolder="" count="0" memberValueDatatype="7"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tandard Cost]" caption="Standard Cost" attribute="1" defaultMemberUniqueName="[Products].[Standard Cost].[All]" allUniqueName="[Products].[Standard Cost].[All]" dimensionUniqueName="[Products]" displayFolder="" count="0" memberValueDatatype="20" unbalanced="0"/>
    <cacheHierarchy uniqueName="[Products].[Selling Price]" caption="Selling Price" attribute="1" defaultMemberUniqueName="[Products].[Selling Price].[All]" allUniqueName="[Products].[Selling Price].[All]" dimensionUniqueName="[Products]" displayFolder="" count="0" memberValueDatatype="20" unbalanced="0"/>
    <cacheHierarchy uniqueName="[Returns].[Return ID]" caption="Return ID" attribute="1" defaultMemberUniqueName="[Returns].[Return ID].[All]" allUniqueName="[Returns].[Return I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 Date]" caption="Return Date" attribute="1" time="1" defaultMemberUniqueName="[Returns].[Return Date].[All]" allUniqueName="[Returns].[Return Date].[All]" dimensionUniqueName="[Returns]" displayFolder="" count="0" memberValueDatatype="7" unbalanced="0"/>
    <cacheHierarchy uniqueName="[Returns].[Return Qty]" caption="Return Qty" attribute="1" defaultMemberUniqueName="[Returns].[Return Qty].[All]" allUniqueName="[Returns].[Return Qty].[All]" dimensionUniqueName="[Returns]" displayFolder="" count="0" memberValueDatatype="20" unbalanced="0"/>
    <cacheHierarchy uniqueName="[Returns].[Return Reason]" caption="Return Reason" attribute="1" defaultMemberUniqueName="[Returns].[Return Reason].[All]" allUniqueName="[Returns].[Return Reason].[All]" dimensionUniqueName="[Returns]" displayFolder="" count="0" memberValueDatatype="13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Employee ID]" caption="Employee ID" attribute="1" defaultMemberUniqueName="[Sales_Table].[Employee ID].[All]" allUniqueName="[Sales_Table].[Employee ID].[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Order Status]" caption="Order Status" attribute="1" defaultMemberUniqueName="[Sales_Table].[Order Status].[All]" allUniqueName="[Sales_Table].[Order Status].[All]" dimensionUniqueName="[Sales_Table]" displayFolder="" count="0" memberValueDatatype="130" unbalanced="0"/>
    <cacheHierarchy uniqueName="[Sales_Table].[Payment Mode]" caption="Payment Mode" attribute="1" defaultMemberUniqueName="[Sales_Table].[Payment Mode].[All]" allUniqueName="[Sales_Table].[Payment Mod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20" unbalanced="0"/>
    <cacheHierarchy uniqueName="[Sales_Table].[Discount %]" caption="Discount %" attribute="1" defaultMemberUniqueName="[Sales_Table].[Discount %].[All]" allUniqueName="[Sales_Table].[Discount %].[All]" dimensionUniqueName="[Sales_Table]" displayFolder="" count="0" memberValueDatatype="5"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Employee Name]" caption="Employee Name" attribute="1" defaultMemberUniqueName="[Sales_Table].[Employee Name].[All]" allUniqueName="[Sales_Table].[Employee Name].[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Gross Sales]" caption="Gross Sales" attribute="1" defaultMemberUniqueName="[Sales_Table].[Gross Sales].[All]" allUniqueName="[Sales_Table].[Gross Sales].[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20" unbalanced="0"/>
    <cacheHierarchy uniqueName="[Sales_Table].[Net Sale]" caption="Net Sale" attribute="1" defaultMemberUniqueName="[Sales_Table].[Net Sale].[All]" allUniqueName="[Sales_Table].[Net Sale].[All]" dimensionUniqueName="[Sales_Table]" displayFolder="" count="0" memberValueDatatype="20" unbalanced="0"/>
    <cacheHierarchy uniqueName="[Sales_Table].[Total Cost]" caption="Total Cost" attribute="1" defaultMemberUniqueName="[Sales_Table].[Total Cost].[All]" allUniqueName="[Sales_Table].[Total Cos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20"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Month]" caption="Month" attribute="1" defaultMemberUniqueName="[Sales_Table].[Month].[All]" allUniqueName="[Sales_Table].[Month].[All]" dimensionUniqueName="[Sales_Table]" displayFolder="" count="0" memberValueDatatype="130" unbalanced="0"/>
    <cacheHierarchy uniqueName="[Sales_Table].[Year]" caption="Year" attribute="1" defaultMemberUniqueName="[Sales_Table].[Year].[All]" allUniqueName="[Sales_Table].[Year].[All]" dimensionUniqueName="[Sales_Table]" displayFolder="" count="0" memberValueDatatype="20" unbalanced="0"/>
    <cacheHierarchy uniqueName="[Sales_Table].[Days]" caption="Days" attribute="1" defaultMemberUniqueName="[Sales_Table].[Days].[All]" allUniqueName="[Sales_Table].[Days].[All]" dimensionUniqueName="[Sales_Table]" displayFolder="" count="0" memberValueDatatype="130" unbalanced="0"/>
    <cacheHierarchy uniqueName="[Sales_Table].[Weekned/Weekday]" caption="Weekned/Weekday" attribute="1" defaultMemberUniqueName="[Sales_Table].[Weekned/Weekday].[All]" allUniqueName="[Sales_Table].[Weekned/Weekday].[All]" dimensionUniqueName="[Sales_Table]" displayFolder="" count="0" memberValueDatatype="130" unbalanced="0"/>
    <cacheHierarchy uniqueName="[Sales_Table].[Sale Eligilblity]" caption="Sale Eligilblity" attribute="1" defaultMemberUniqueName="[Sales_Table].[Sale Eligilblity].[All]" allUniqueName="[Sales_Table].[Sale Eligilblity].[All]" dimensionUniqueName="[Sales_Table]" displayFolder="" count="0" memberValueDatatype="130" unbalanced="0"/>
    <cacheHierarchy uniqueName="[Sales_Table].[Retured]" caption="Retured" attribute="1" defaultMemberUniqueName="[Sales_Table].[Retured].[All]" allUniqueName="[Sales_Table].[Retured].[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Targets].[Month]" caption="Month" attribute="1" time="1" defaultMemberUniqueName="[Targets].[Month].[All]" allUniqueName="[Targets].[Month].[All]" dimensionUniqueName="[Targets]" displayFolder="" count="0" memberValueDatatype="7" unbalanced="0"/>
    <cacheHierarchy uniqueName="[Targets].[Region]" caption="Region" attribute="1" defaultMemberUniqueName="[Targets].[Region].[All]" allUniqueName="[Targets].[Region].[All]" dimensionUniqueName="[Targets]" displayFolder="" count="0" memberValueDatatype="130" unbalanced="0"/>
    <cacheHierarchy uniqueName="[Targets].[Sales Target]" caption="Sales Target" attribute="1" defaultMemberUniqueName="[Targets].[Sales Target].[All]" allUniqueName="[Targets].[Sales Target].[All]" dimensionUniqueName="[Targets]" displayFolder="" count="0" memberValueDatatype="2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Targets]" caption="__XL_Count Targets" measure="1" displayFolder="" measureGroup="Targe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Quantity]" caption="Sum of Quantity" measure="1" displayFolder="" measureGroup="Sales_Table" count="0" hidden="1">
      <extLst>
        <ext xmlns:x15="http://schemas.microsoft.com/office/spreadsheetml/2010/11/main" uri="{B97F6D7D-B522-45F9-BDA1-12C45D357490}">
          <x15:cacheHierarchy aggregatedColumn="28"/>
        </ext>
      </extLst>
    </cacheHierarchy>
    <cacheHierarchy uniqueName="[Measures].[Sum of Net Sale]" caption="Sum of Net Sale" measure="1" displayFolder="" measureGroup="Sales_Table" count="0" hidden="1">
      <extLst>
        <ext xmlns:x15="http://schemas.microsoft.com/office/spreadsheetml/2010/11/main" uri="{B97F6D7D-B522-45F9-BDA1-12C45D357490}">
          <x15:cacheHierarchy aggregatedColumn="36"/>
        </ext>
      </extLst>
    </cacheHierarchy>
    <cacheHierarchy uniqueName="[Measures].[Sum of Profit]" caption="Sum of Profit" measure="1" displayFolder="" measureGroup="Sales_Table" count="0" hidden="1">
      <extLst>
        <ext xmlns:x15="http://schemas.microsoft.com/office/spreadsheetml/2010/11/main" uri="{B97F6D7D-B522-45F9-BDA1-12C45D357490}">
          <x15:cacheHierarchy aggregatedColumn="38"/>
        </ext>
      </extLst>
    </cacheHierarchy>
    <cacheHierarchy uniqueName="[Measures].[Count of Order ID]" caption="Count of Order ID" measure="1" displayFolder="" measureGroup="Sales_Tabl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9833886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E6E2D-68AE-400D-821C-47C3533E241F}" name="Product Performance" cacheId="4" applyNumberFormats="0" applyBorderFormats="0" applyFontFormats="0" applyPatternFormats="0" applyAlignmentFormats="0" applyWidthHeightFormats="1" dataCaption="Values" tag="2163ee0a-1a15-4e45-928e-1e0b895e74dc" updatedVersion="8" minRefreshableVersion="5" useAutoFormatting="1" itemPrintTitles="1" createdVersion="5" indent="0" outline="1" outlineData="1" multipleFieldFilters="0" chartFormat="21">
  <location ref="F3:I10"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2"/>
  </colFields>
  <colItems count="3">
    <i>
      <x/>
    </i>
    <i i="1">
      <x v="1"/>
    </i>
    <i i="2">
      <x v="2"/>
    </i>
  </colItems>
  <dataFields count="3">
    <dataField name="Sum of Quantity" fld="0" baseField="0" baseItem="0"/>
    <dataField name="Sum of Net Sale" fld="1" baseField="0" baseItem="0"/>
    <dataField name="Sum of Profit" fld="2" baseField="0" baseItem="0" numFmtId="166"/>
  </dataFields>
  <formats count="15">
    <format dxfId="51">
      <pivotArea collapsedLevelsAreSubtotals="1" fieldPosition="0">
        <references count="2">
          <reference field="4294967294" count="1" selected="0">
            <x v="1"/>
          </reference>
          <reference field="3" count="0"/>
        </references>
      </pivotArea>
    </format>
    <format dxfId="50">
      <pivotArea field="3" grandRow="1" outline="0" collapsedLevelsAreSubtotals="1" axis="axisRow" fieldPosition="0">
        <references count="1">
          <reference field="4294967294" count="1" selected="0">
            <x v="1"/>
          </reference>
        </references>
      </pivotArea>
    </format>
    <format dxfId="49">
      <pivotArea outline="0" collapsedLevelsAreSubtotals="1" fieldPosition="0">
        <references count="1">
          <reference field="4294967294" count="1" selected="0">
            <x v="2"/>
          </reference>
        </references>
      </pivotArea>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fieldPosition="0">
        <references count="1">
          <reference field="4294967294" count="3">
            <x v="0"/>
            <x v="1"/>
            <x v="2"/>
          </reference>
        </references>
      </pivotArea>
    </format>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outline="0" fieldPosition="0">
        <references count="1">
          <reference field="4294967294" count="3">
            <x v="0"/>
            <x v="1"/>
            <x v="2"/>
          </reference>
        </references>
      </pivotArea>
    </format>
  </formats>
  <chartFormats count="3">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series="1">
      <pivotArea type="data" outline="0" fieldPosition="0">
        <references count="1">
          <reference field="4294967294"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A726D-3DF0-4D1E-ADC0-80E3938D1F25}" name="Region Performance" cacheId="0" applyNumberFormats="0" applyBorderFormats="0" applyFontFormats="0" applyPatternFormats="0" applyAlignmentFormats="0" applyWidthHeightFormats="1" dataCaption="Values" tag="ea14b5ac-08e2-4b60-aaf6-c61e792bc87f" updatedVersion="8" minRefreshableVersion="5" useAutoFormatting="1" subtotalHiddenItems="1" itemPrintTitles="1" createdVersion="5" indent="0" outline="1" outlineData="1" multipleFieldFilters="0" chartFormat="13">
  <location ref="A3:D8" firstHeaderRow="0" firstDataRow="1" firstDataCol="1" rowPageCount="1" colPageCount="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4" hier="44" name="[Sales_Table].[Sale Eligilblity].&amp;[Y]" cap="Y"/>
  </pageFields>
  <dataFields count="3">
    <dataField name="Sum of Quantity" fld="1" baseField="0" baseItem="0"/>
    <dataField name="Sum of Net Sale" fld="2" baseField="0" baseItem="0" numFmtId="164"/>
    <dataField name="Sum of Profit" fld="3" baseField="0" baseItem="0" numFmtId="164"/>
  </dataFields>
  <formats count="16">
    <format dxfId="67">
      <pivotArea outline="0" collapsedLevelsAreSubtotals="1" fieldPosition="0">
        <references count="1">
          <reference field="4294967294" count="1" selected="0">
            <x v="1"/>
          </reference>
        </references>
      </pivotArea>
    </format>
    <format dxfId="66">
      <pivotArea outline="0" collapsedLevelsAreSubtotals="1" fieldPosition="0">
        <references count="1">
          <reference field="4294967294" count="1" selected="0">
            <x v="2"/>
          </reference>
        </references>
      </pivotArea>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grandRow="1" outline="0" fieldPosition="0"/>
    </format>
    <format dxfId="60">
      <pivotArea dataOnly="0" labelOnly="1" outline="0" fieldPosition="0">
        <references count="1">
          <reference field="4294967294" count="3">
            <x v="0"/>
            <x v="1"/>
            <x v="2"/>
          </reference>
        </references>
      </pivotArea>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fieldPosition="0">
        <references count="1">
          <reference field="4294967294" count="3">
            <x v="0"/>
            <x v="1"/>
            <x v="2"/>
          </reference>
        </references>
      </pivotArea>
    </format>
    <format dxfId="53">
      <pivotArea field="4" type="button" dataOnly="0" labelOnly="1" outline="0" axis="axisPage" fieldPosition="0"/>
    </format>
    <format dxfId="52">
      <pivotArea dataOnly="0" labelOnly="1" outline="0" fieldPosition="0">
        <references count="1">
          <reference field="4" count="0"/>
        </references>
      </pivotArea>
    </format>
  </formats>
  <chartFormats count="5">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2"/>
          </reference>
        </references>
      </pivotArea>
    </chartFormat>
    <chartFormat chart="9" format="12">
      <pivotArea type="data" outline="0" fieldPosition="0">
        <references count="2">
          <reference field="4294967294" count="1" selected="0">
            <x v="1"/>
          </reference>
          <reference field="0" count="1" selected="0">
            <x v="1"/>
          </reference>
        </references>
      </pivotArea>
    </chartFormat>
    <chartFormat chart="9" format="13">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able].[Sale Eligilblity].&amp;[Y]"/>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1AD65F-5F41-469B-A5DF-343A3D50DFD7}" name="Order Status" cacheId="3" applyNumberFormats="0" applyBorderFormats="0" applyFontFormats="0" applyPatternFormats="0" applyAlignmentFormats="0" applyWidthHeightFormats="1" dataCaption="Values" tag="552e1780-abf2-4c20-b452-a5530f09f0c5" updatedVersion="8" minRefreshableVersion="5" useAutoFormatting="1" itemPrintTitles="1" createdVersion="5" indent="0" outline="1" outlineData="1" multipleFieldFilters="0" chartFormat="7">
  <location ref="A23:B2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formats count="12">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B91EC1-61B9-4BBF-9719-72905F96E83A}" name="Monthly Sales" cacheId="2" applyNumberFormats="0" applyBorderFormats="0" applyFontFormats="0" applyPatternFormats="0" applyAlignmentFormats="0" applyWidthHeightFormats="1" dataCaption="Values" tag="b8d4112d-9eea-4759-ba81-d072d4f566b0" updatedVersion="8" minRefreshableVersion="5" useAutoFormatting="1" itemPrintTitles="1" createdVersion="5" indent="0" outline="1" outlineData="1" multipleFieldFilters="0" chartFormat="9">
  <location ref="F15:H2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0" baseField="0" baseItem="0" numFmtId="166"/>
    <dataField name="Sum of Net Sale" fld="1" baseField="0" baseItem="0" numFmtId="164"/>
  </dataFields>
  <formats count="14">
    <format dxfId="93">
      <pivotArea outline="0" collapsedLevelsAreSubtotals="1" fieldPosition="0">
        <references count="1">
          <reference field="4294967294" count="1" selected="0">
            <x v="1"/>
          </reference>
        </references>
      </pivotArea>
    </format>
    <format dxfId="92">
      <pivotArea outline="0" collapsedLevelsAreSubtotals="1" fieldPosition="0">
        <references count="1">
          <reference field="4294967294" count="1" selected="0">
            <x v="0"/>
          </reference>
        </references>
      </pivotArea>
    </format>
    <format dxfId="91">
      <pivotArea type="all" dataOnly="0" outline="0" fieldPosition="0"/>
    </format>
    <format dxfId="90">
      <pivotArea outline="0" collapsedLevelsAreSubtotals="1" fieldPosition="0"/>
    </format>
    <format dxfId="89">
      <pivotArea field="2" type="button" dataOnly="0" labelOnly="1" outline="0" axis="axisRow" fieldPosition="0"/>
    </format>
    <format dxfId="88">
      <pivotArea dataOnly="0" labelOnly="1" fieldPosition="0">
        <references count="1">
          <reference field="2" count="0"/>
        </references>
      </pivotArea>
    </format>
    <format dxfId="87">
      <pivotArea dataOnly="0" labelOnly="1" grandRow="1" outline="0" fieldPosition="0"/>
    </format>
    <format dxfId="86">
      <pivotArea dataOnly="0" labelOnly="1" outline="0" fieldPosition="0">
        <references count="1">
          <reference field="4294967294" count="2">
            <x v="0"/>
            <x v="1"/>
          </reference>
        </references>
      </pivotArea>
    </format>
    <format dxfId="85">
      <pivotArea type="all" dataOnly="0" outline="0" fieldPosition="0"/>
    </format>
    <format dxfId="84">
      <pivotArea outline="0" collapsedLevelsAreSubtotals="1" fieldPosition="0"/>
    </format>
    <format dxfId="83">
      <pivotArea field="2" type="button" dataOnly="0" labelOnly="1" outline="0" axis="axisRow" fieldPosition="0"/>
    </format>
    <format dxfId="82">
      <pivotArea dataOnly="0" labelOnly="1" fieldPosition="0">
        <references count="1">
          <reference field="2" count="0"/>
        </references>
      </pivotArea>
    </format>
    <format dxfId="81">
      <pivotArea dataOnly="0" labelOnly="1" grandRow="1" outline="0" fieldPosition="0"/>
    </format>
    <format dxfId="80">
      <pivotArea dataOnly="0" labelOnly="1" outline="0" fieldPosition="0">
        <references count="1">
          <reference field="4294967294" count="2">
            <x v="0"/>
            <x v="1"/>
          </reference>
        </references>
      </pivotArea>
    </format>
  </formats>
  <chartFormats count="4">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pivotArea type="data" outline="0" fieldPosition="0">
        <references count="2">
          <reference field="4294967294" count="1" selected="0">
            <x v="0"/>
          </reference>
          <reference field="2" count="1" selected="0">
            <x v="11"/>
          </reference>
        </references>
      </pivotArea>
    </chartFormat>
    <chartFormat chart="5" format="9">
      <pivotArea type="data" outline="0" fieldPosition="0">
        <references count="2">
          <reference field="4294967294" count="1" selected="0">
            <x v="1"/>
          </reference>
          <reference field="2" count="1" selected="0">
            <x v="8"/>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4468EB-8517-45ED-A21C-4C8B7C8E1C21}" name="Employee Performance" cacheId="1" applyNumberFormats="0" applyBorderFormats="0" applyFontFormats="0" applyPatternFormats="0" applyAlignmentFormats="0" applyWidthHeightFormats="1" dataCaption="Values" tag="2e1205d6-7f18-4429-bf5a-1310dbc2346d" updatedVersion="8" minRefreshableVersion="5" useAutoFormatting="1" itemPrintTitles="1" createdVersion="5" indent="0" outline="1" outlineData="1" multipleFieldFilters="0" chartFormat="23">
  <location ref="A12:C1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2"/>
  </colFields>
  <colItems count="2">
    <i>
      <x/>
    </i>
    <i i="1">
      <x v="1"/>
    </i>
  </colItems>
  <dataFields count="2">
    <dataField name="Sum of Net Sale" fld="0" baseField="0" baseItem="0"/>
    <dataField name="Sum of Profit" fld="1" baseField="0" baseItem="0" numFmtId="166"/>
  </dataFields>
  <formats count="15">
    <format dxfId="108">
      <pivotArea collapsedLevelsAreSubtotals="1" fieldPosition="0">
        <references count="2">
          <reference field="4294967294" count="1" selected="0">
            <x v="0"/>
          </reference>
          <reference field="2" count="0"/>
        </references>
      </pivotArea>
    </format>
    <format dxfId="107">
      <pivotArea field="2" grandRow="1" outline="0" collapsedLevelsAreSubtotals="1" axis="axisRow" fieldPosition="0">
        <references count="1">
          <reference field="4294967294" count="1" selected="0">
            <x v="0"/>
          </reference>
        </references>
      </pivotArea>
    </format>
    <format dxfId="106">
      <pivotArea outline="0" collapsedLevelsAreSubtotals="1" fieldPosition="0">
        <references count="1">
          <reference field="4294967294" count="1" selected="0">
            <x v="1"/>
          </reference>
        </references>
      </pivotArea>
    </format>
    <format dxfId="105">
      <pivotArea type="all" dataOnly="0" outline="0" fieldPosition="0"/>
    </format>
    <format dxfId="104">
      <pivotArea outline="0" collapsedLevelsAreSubtotals="1" fieldPosition="0"/>
    </format>
    <format dxfId="103">
      <pivotArea field="2" type="button" dataOnly="0" labelOnly="1" outline="0" axis="axisRow" fieldPosition="0"/>
    </format>
    <format dxfId="102">
      <pivotArea dataOnly="0" labelOnly="1" fieldPosition="0">
        <references count="1">
          <reference field="2" count="0"/>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outline="0" fieldPosition="0">
        <references count="1">
          <reference field="4294967294" count="2">
            <x v="0"/>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B4D804AD-11B2-41BD-8B7E-DFC4EDC15A2F}" autoFormatId="16" applyNumberFormats="0" applyBorderFormats="0" applyFontFormats="0" applyPatternFormats="0" applyAlignmentFormats="0" applyWidthHeightFormats="0">
  <queryTableRefresh nextId="27">
    <queryTableFields count="26">
      <queryTableField id="1" name="Order ID" tableColumnId="1"/>
      <queryTableField id="2" name="Order Date" tableColumnId="2"/>
      <queryTableField id="3" name="Customer ID" tableColumnId="3"/>
      <queryTableField id="4" name="Product ID" tableColumnId="4"/>
      <queryTableField id="5" name="Employee ID" tableColumnId="5"/>
      <queryTableField id="6" name="Region" tableColumnId="6"/>
      <queryTableField id="7" name="Order Status" tableColumnId="7"/>
      <queryTableField id="8" name="Payment Mode" tableColumnId="8"/>
      <queryTableField id="9" name="Quantity" tableColumnId="9"/>
      <queryTableField id="10" name="Unit Price" tableColumnId="10"/>
      <queryTableField id="11" name="Discount %" tableColumnId="11"/>
      <queryTableField id="12" name="Product Name" tableColumnId="12"/>
      <queryTableField id="13" name="Employee Name" tableColumnId="13"/>
      <queryTableField id="14" name="Customer Name" tableColumnId="14"/>
      <queryTableField id="15" name="Gross Sales" tableColumnId="15"/>
      <queryTableField id="16" name="Discount" tableColumnId="16"/>
      <queryTableField id="17" name="Net Sale" tableColumnId="17"/>
      <queryTableField id="18" name="Total Cost" tableColumnId="18"/>
      <queryTableField id="19" name="Profit" tableColumnId="19"/>
      <queryTableField id="20" name="profit%" tableColumnId="20"/>
      <queryTableField id="21" name="Month" tableColumnId="21"/>
      <queryTableField id="22" name="Year" tableColumnId="22"/>
      <queryTableField id="23" name="Days " tableColumnId="23"/>
      <queryTableField id="24" name="Weekned/Weekday" tableColumnId="24"/>
      <queryTableField id="25" name="Sale Eligilblity" tableColumnId="25"/>
      <queryTableField id="26" name="Retured"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9CC11E8-E2F0-46CF-8BF9-F865D6E74530}" autoFormatId="16" applyNumberFormats="0" applyBorderFormats="0" applyFontFormats="0" applyPatternFormats="0" applyAlignmentFormats="0" applyWidthHeightFormats="0">
  <queryTableRefresh nextId="7">
    <queryTableFields count="6">
      <queryTableField id="1" name="Product ID" tableColumnId="1"/>
      <queryTableField id="2" name="Product Name" tableColumnId="2"/>
      <queryTableField id="3" name="Category" tableColumnId="3"/>
      <queryTableField id="4" name="Brand" tableColumnId="4"/>
      <queryTableField id="5" name="Standard Cost" tableColumnId="5"/>
      <queryTableField id="6" name="Selling Pric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31710A1-01AB-475B-A840-12E310BF7D98}" autoFormatId="16" applyNumberFormats="0" applyBorderFormats="0" applyFontFormats="0" applyPatternFormats="0" applyAlignmentFormats="0" applyWidthHeightFormats="0">
  <queryTableRefresh nextId="6">
    <queryTableFields count="5">
      <queryTableField id="1" name="Customer ID" tableColumnId="1"/>
      <queryTableField id="2" name="Customer Name" tableColumnId="2"/>
      <queryTableField id="3" name="Customer Type" tableColumnId="3"/>
      <queryTableField id="4" name="City" tableColumnId="4"/>
      <queryTableField id="5" name="St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9601F5D6-0C92-456E-810C-C0654722B096}" autoFormatId="16" applyNumberFormats="0" applyBorderFormats="0" applyFontFormats="0" applyPatternFormats="0" applyAlignmentFormats="0" applyWidthHeightFormats="0">
  <queryTableRefresh nextId="4">
    <queryTableFields count="3">
      <queryTableField id="1" name="Month" tableColumnId="1"/>
      <queryTableField id="2" name="Region" tableColumnId="2"/>
      <queryTableField id="3" name="Sales Targe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660B700E-DDB3-4A63-B825-F03748F0A4DA}" autoFormatId="16" applyNumberFormats="0" applyBorderFormats="0" applyFontFormats="0" applyPatternFormats="0" applyAlignmentFormats="0" applyWidthHeightFormats="0">
  <queryTableRefresh nextId="6">
    <queryTableFields count="5">
      <queryTableField id="1" name="Return ID" tableColumnId="1"/>
      <queryTableField id="2" name="Order ID" tableColumnId="2"/>
      <queryTableField id="3" name="Return Date" tableColumnId="3"/>
      <queryTableField id="4" name="Return Qty" tableColumnId="4"/>
      <queryTableField id="5" name="Return Reason"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438FEF8B-234F-4207-BC3A-0A6AFF200DEA}" autoFormatId="16" applyNumberFormats="0" applyBorderFormats="0" applyFontFormats="0" applyPatternFormats="0" applyAlignmentFormats="0" applyWidthHeightFormats="0">
  <queryTableRefresh nextId="5">
    <queryTableFields count="4">
      <queryTableField id="1" name="Employee ID" tableColumnId="1"/>
      <queryTableField id="2" name="Employee Name" tableColumnId="2"/>
      <queryTableField id="3" name="Department" tableColumnId="3"/>
      <queryTableField id="4" name="Joining Dat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AA9635-5EB6-4B51-BF0E-EF576CB53A11}" sourceName="[Sales_Table].[Region]">
  <pivotTables>
    <pivotTable tabId="8" name="Order Status"/>
    <pivotTable tabId="8" name="Employee Performance"/>
    <pivotTable tabId="8" name="Monthly Sales"/>
    <pivotTable tabId="8" name="Product Performance"/>
    <pivotTable tabId="8" name="Region Performance"/>
  </pivotTables>
  <data>
    <olap pivotCacheId="369148438">
      <levels count="2">
        <level uniqueName="[Sales_Table].[Region].[(All)]" sourceCaption="(All)" count="0"/>
        <level uniqueName="[Sales_Table].[Region].[Region]" sourceCaption="Region" count="4">
          <ranges>
            <range startItem="0">
              <i n="[Sales_Table].[Region].&amp;[Bangalore]" c="Bangalore"/>
              <i n="[Sales_Table].[Region].&amp;[Chennai]" c="Chennai"/>
              <i n="[Sales_Table].[Region].&amp;[Hyderabad]" c="Hyderabad"/>
              <i n="[Sales_Table].[Region].&amp;[Pune]" c="Pune"/>
            </range>
          </ranges>
        </level>
      </levels>
      <selections count="1">
        <selection n="[Sales_Tabl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3490D77-148B-47D0-8E3E-2D368C98D3A6}" cache="Slicer_Region" caption="Region" level="1" rowHeight="251883"/>
</slicers>
</file>

<file path=xl/tables/_rels/table1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18E557-6842-4718-B571-75BB75CF6071}" name="Sales_Table" displayName="Sales_Table" ref="A1:Z121" totalsRowShown="0" dataDxfId="203">
  <autoFilter ref="A1:Z121" xr:uid="{0F18E557-6842-4718-B571-75BB75CF6071}"/>
  <tableColumns count="26">
    <tableColumn id="1" xr3:uid="{C1272657-180A-4442-B85B-2D1C7ACF50AE}" name="Order ID" dataDxfId="202"/>
    <tableColumn id="2" xr3:uid="{B4E56ED3-B96A-4DE5-A0AC-1802011245E7}" name="Order Date" dataDxfId="201"/>
    <tableColumn id="3" xr3:uid="{4F467351-85F0-4B44-AA14-69363FEA4CE0}" name="Customer ID" dataDxfId="200"/>
    <tableColumn id="4" xr3:uid="{DA3B7B3B-160A-4A49-AFC7-A53E26771B80}" name="Product ID" dataDxfId="199"/>
    <tableColumn id="5" xr3:uid="{8279F6E6-922D-4B73-8D02-60D7E508D292}" name="Employee ID" dataDxfId="198"/>
    <tableColumn id="6" xr3:uid="{FB7C88FB-F507-4E7C-A5B1-8598ADE91A12}" name="Region" dataDxfId="197"/>
    <tableColumn id="7" xr3:uid="{2CD3DDCD-E38D-4988-8A32-FB5A0CE7EF46}" name="Order Status" dataDxfId="196"/>
    <tableColumn id="8" xr3:uid="{97F5350F-4428-4A21-9B7E-E511B93FB0EA}" name="Payment Mode" dataDxfId="195"/>
    <tableColumn id="9" xr3:uid="{EA2001AF-A35D-4993-9EC7-FA99FC732846}" name="Quantity" dataDxfId="194"/>
    <tableColumn id="10" xr3:uid="{A62F94BB-75CF-4981-BEEE-FCD4C7D22714}" name="Unit Price" dataDxfId="193"/>
    <tableColumn id="11" xr3:uid="{9DD662E7-416F-4E04-AB0D-310DE6FF3820}" name="Discount %" dataDxfId="192"/>
    <tableColumn id="12" xr3:uid="{9A64323C-0BA3-4AD3-8DED-6E06CE8A5A69}" name="Product Name" dataDxfId="191">
      <calculatedColumnFormula>_xlfn.XLOOKUP(Sales_Table[[#This Row],[Product ID]],Products[Product ID],Products[Product Name],"N",0)</calculatedColumnFormula>
    </tableColumn>
    <tableColumn id="13" xr3:uid="{20306672-6613-4D0F-9F61-F1AA7724EEFB}" name="Employee Name" dataDxfId="190">
      <calculatedColumnFormula>_xlfn.XLOOKUP(Sales_Table[[#This Row],[Employee ID]],Employees[Employee ID],Employees[Employee Name],"N",0)</calculatedColumnFormula>
    </tableColumn>
    <tableColumn id="14" xr3:uid="{C612A0D2-C690-4864-BAED-AD6DA95E1EA6}" name="Customer Name" dataDxfId="0">
      <calculatedColumnFormula>_xlfn.XLOOKUP(Sales_Table[[#This Row],[Customer ID]],Table22[Customer ID],Table22[Customer Name])</calculatedColumnFormula>
    </tableColumn>
    <tableColumn id="15" xr3:uid="{749CF3FE-300A-429B-B570-5DFDD7A51F1F}" name="Gross Sales" dataDxfId="189">
      <calculatedColumnFormula>Sales_Table[[#This Row],[Unit Price]]*Sales_Table[[#This Row],[Quantity]]</calculatedColumnFormula>
    </tableColumn>
    <tableColumn id="16" xr3:uid="{3EA07430-E65A-494B-A82F-8F3EF4D83A21}" name="Discount" dataDxfId="188">
      <calculatedColumnFormula>Sales_Table[[#This Row],[Gross Sales]]*Sales_Table[[#This Row],[Discount %]]</calculatedColumnFormula>
    </tableColumn>
    <tableColumn id="17" xr3:uid="{61AB9C07-9622-4E78-A6FA-03D40307E1BB}" name="Net Sale" dataDxfId="187">
      <calculatedColumnFormula>Sales_Table[[#This Row],[Gross Sales]]-Sales_Table[[#This Row],[Discount]]</calculatedColumnFormula>
    </tableColumn>
    <tableColumn id="18" xr3:uid="{B8974455-2D87-49D7-A053-D29B312C8067}" name="Total Cost" dataDxfId="186">
      <calculatedColumnFormula>VLOOKUP(Sales_Table[[#This Row],[Product ID]],Products[],5,FALSE)*Sales_Table[[#This Row],[Quantity]]</calculatedColumnFormula>
    </tableColumn>
    <tableColumn id="19" xr3:uid="{205B425F-CD1A-4C1B-A47C-74B31287E225}" name="Profit" dataDxfId="185">
      <calculatedColumnFormula>Sales_Table[[#This Row],[Net Sale]]-Sales_Table[[#This Row],[Total Cost]]</calculatedColumnFormula>
    </tableColumn>
    <tableColumn id="20" xr3:uid="{6AA0BC17-1517-4087-B201-6420F5CAAB66}" name="profit%" dataDxfId="184" dataCellStyle="Per cent">
      <calculatedColumnFormula>Sales_Table[[#This Row],[Profit]]/Sales_Table[[#This Row],[Net Sale]]</calculatedColumnFormula>
    </tableColumn>
    <tableColumn id="21" xr3:uid="{FD354CDD-6687-426D-AA4B-09B51A7DCD50}" name="Month" dataDxfId="183">
      <calculatedColumnFormula>TEXT(Sales_Table[[#This Row],[Order Date]],"mmmm-YYYY")</calculatedColumnFormula>
    </tableColumn>
    <tableColumn id="22" xr3:uid="{C71FCE3A-81EA-4684-8FD4-93050589F7E8}" name="Year" dataDxfId="182">
      <calculatedColumnFormula>YEAR(Sales_Table[[#This Row],[Month]])</calculatedColumnFormula>
    </tableColumn>
    <tableColumn id="23" xr3:uid="{E2E34DC1-730E-4010-973F-DF53817B64CA}" name="Days " dataDxfId="181">
      <calculatedColumnFormula>TEXT(Sales_Table[[#This Row],[Order Date]],"DDDD")</calculatedColumnFormula>
    </tableColumn>
    <tableColumn id="24" xr3:uid="{2811DDC2-D3E5-4BFF-B05E-FD3F6AE33ABD}" name="Weekned/Weekday" dataDxfId="180">
      <calculatedColumnFormula>IF(OR(Sales_Table[[#This Row],[Days ]]=$W$5,Sales_Table[[#This Row],[Days ]]=$W$8),"Weekned","Weekday")</calculatedColumnFormula>
    </tableColumn>
    <tableColumn id="25" xr3:uid="{BF02C8B0-5937-4E1F-A8FD-390A70DACF89}" name="Sale Eligilblity" dataDxfId="179">
      <calculatedColumnFormula>IF(Sales_Table[[#This Row],[Order Status]]="Delivered","Y","N")</calculatedColumnFormula>
    </tableColumn>
    <tableColumn id="26" xr3:uid="{02B62F7C-202F-44D1-8257-C7884A4871E2}" name="Retured" dataDxfId="178">
      <calculatedColumnFormula>IF(Sales_Table[[#This Row],[Order Status]]="Returned","Yes","N")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FB60F2-FE65-4392-B9EF-5C1C688315B3}" name="Products" displayName="Products" ref="A1:F7" totalsRowShown="0" dataDxfId="177">
  <autoFilter ref="A1:F7" xr:uid="{12FB60F2-FE65-4392-B9EF-5C1C688315B3}"/>
  <tableColumns count="6">
    <tableColumn id="1" xr3:uid="{63E509DA-671F-430E-BFD7-E99140DD1C61}" name="Product ID" dataDxfId="176"/>
    <tableColumn id="2" xr3:uid="{0A18E8D1-E3E8-407B-902E-9F0717ABBE02}" name="Product Name" dataDxfId="175"/>
    <tableColumn id="3" xr3:uid="{130019A5-6866-4CFA-896A-6B893D4A335C}" name="Category" dataDxfId="174"/>
    <tableColumn id="4" xr3:uid="{7FA68623-AE29-4250-A8DA-25BD88B498D9}" name="Brand" dataDxfId="173"/>
    <tableColumn id="5" xr3:uid="{63C012EA-2B63-435B-AEA1-D52283C7A871}" name="Standard Cost" dataDxfId="172"/>
    <tableColumn id="6" xr3:uid="{84D7113A-A0DF-4B74-BEED-9D4DE8CC3BFF}" name="Selling Price" dataDxfId="17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6BF401-79D3-4B33-AACE-CA46BC28AD0E}" name="Employees" displayName="Employees" ref="A1:D7" totalsRowShown="0" dataDxfId="170">
  <autoFilter ref="A1:D7" xr:uid="{C56BF401-79D3-4B33-AACE-CA46BC28AD0E}"/>
  <tableColumns count="4">
    <tableColumn id="1" xr3:uid="{88D6A9D4-7505-4FF3-B495-AB382F14AC2F}" name="Employee ID" dataDxfId="169"/>
    <tableColumn id="2" xr3:uid="{E1BDBD5A-E8C6-460F-B945-78A6F963FF4D}" name="Employee Name" dataDxfId="168"/>
    <tableColumn id="3" xr3:uid="{2A16A59D-055D-4195-879C-CABBACC7CD6A}" name="Department" dataDxfId="167"/>
    <tableColumn id="4" xr3:uid="{5B60823D-3BB4-40C1-A34B-1BAEACBB5CB8}" name="Joining Date" dataDxfId="16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9E487F-2F4B-4610-848E-6965AEACAC38}" name="Table22" displayName="Table22" ref="A1:E11" totalsRowShown="0" dataDxfId="165">
  <autoFilter ref="A1:E11" xr:uid="{519E487F-2F4B-4610-848E-6965AEACAC38}"/>
  <tableColumns count="5">
    <tableColumn id="1" xr3:uid="{6B0503DA-1229-41A6-B811-0084ED5B396B}" name="Customer ID" dataDxfId="164"/>
    <tableColumn id="2" xr3:uid="{F57833FC-C612-4CAB-81C0-DF9CCCDDE691}" name="Customer Name" dataDxfId="163"/>
    <tableColumn id="3" xr3:uid="{E3EF8A08-ACF1-4BF6-BE21-37A4728F23EC}" name="Customer Type" dataDxfId="162"/>
    <tableColumn id="4" xr3:uid="{95861BC0-D56A-43EE-A9EF-E68A5864F6A8}" name="City" dataDxfId="161"/>
    <tableColumn id="5" xr3:uid="{541720FD-084F-4D06-8A5E-5DBEF24F1341}" name="State" dataDxfId="16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B935EB0-3FB8-4915-A22B-BA1A31EDD20D}" name="Targets" displayName="Targets" ref="A1:C37" totalsRowShown="0" dataDxfId="159">
  <autoFilter ref="A1:C37" xr:uid="{AB935EB0-3FB8-4915-A22B-BA1A31EDD20D}"/>
  <tableColumns count="3">
    <tableColumn id="1" xr3:uid="{16C32925-EA85-4736-BDDE-9A482B4CF9D7}" name="Month" dataDxfId="158"/>
    <tableColumn id="2" xr3:uid="{B2C96F6F-3081-482B-8C9F-FAB265F530B2}" name="Region" dataDxfId="157"/>
    <tableColumn id="3" xr3:uid="{960AF72C-544E-4F11-97E8-2C37FE3C43BD}" name="Sales Target" dataDxfId="15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D14795-A60F-4438-907C-AC89626D51AD}" name="Returns" displayName="Returns" ref="A1:E7" totalsRowShown="0" dataDxfId="155">
  <autoFilter ref="A1:E7" xr:uid="{21D14795-A60F-4438-907C-AC89626D51AD}"/>
  <tableColumns count="5">
    <tableColumn id="1" xr3:uid="{23234747-39C9-4094-9C45-EE4950DAB6C5}" name="Return ID" dataDxfId="154"/>
    <tableColumn id="2" xr3:uid="{E7B21A4A-51EE-4D47-8EB0-29E2EDA1E32D}" name="Order ID" dataDxfId="153"/>
    <tableColumn id="3" xr3:uid="{DC2EC2C4-5AC1-4017-A367-AAFB2C4A7361}" name="Return Date" dataDxfId="152"/>
    <tableColumn id="4" xr3:uid="{170E49BA-41DD-498E-A989-48C91F96DF8A}" name="Return Qty" dataDxfId="151"/>
    <tableColumn id="5" xr3:uid="{6CCB2710-D70F-419D-8730-BB7410CD328F}" name="Return Reason" dataDxfId="15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530EB3-A2A5-4DA4-9E9F-DDDB1BBDDBB8}" name="Table3" displayName="Table3" ref="A3:B12" totalsRowShown="0" headerRowDxfId="149" dataDxfId="148">
  <autoFilter ref="A3:B12" xr:uid="{E0530EB3-A2A5-4DA4-9E9F-DDDB1BBDDBB8}"/>
  <tableColumns count="2">
    <tableColumn id="1" xr3:uid="{4AC9449B-488B-48C6-AC11-F91248A6C5B6}" name="KPI" dataDxfId="147"/>
    <tableColumn id="2" xr3:uid="{3DBECDA6-B8D9-44E2-A0F9-B68AD63AD6C0}" name="Value" dataDxfId="14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CE7BE2-EC38-4691-9591-31DD801DB4D1}" name="Table6" displayName="Table6" ref="D3:G7" totalsRowShown="0" headerRowDxfId="145" dataDxfId="144">
  <autoFilter ref="D3:G7" xr:uid="{81CE7BE2-EC38-4691-9591-31DD801DB4D1}"/>
  <tableColumns count="4">
    <tableColumn id="1" xr3:uid="{51BE09FA-BCEA-48A9-906E-1F8E072E542B}" name="Region" dataDxfId="143"/>
    <tableColumn id="2" xr3:uid="{737826A0-6964-4ACA-AC74-2DEA3BDF2ADF}" name="Net Sales" dataDxfId="142">
      <calculatedColumnFormula>SUMIF(Sales_Table[Region],'Sales Raw Data'!F104,Sales_Table[Net Sale])</calculatedColumnFormula>
    </tableColumn>
    <tableColumn id="3" xr3:uid="{3D58A8E1-79CC-4530-8FD4-83B227DCA737}" name="Profit" dataDxfId="141">
      <calculatedColumnFormula>SUMIF(Sales_Table[Region],'Sales Raw Data'!F62,Sales_Table[Profit])</calculatedColumnFormula>
    </tableColumn>
    <tableColumn id="4" xr3:uid="{74C1869C-BECD-4980-9D03-919AF52F10E4}" name="Profit %" dataDxfId="140" dataCellStyle="Per cent">
      <calculatedColumnFormula>IFERROR(F4/E4,0)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C9F926-9B3D-47FA-90A9-BE381815957D}" name="Table7" displayName="Table7" ref="I3:M9" totalsRowShown="0" headerRowDxfId="139" dataDxfId="138">
  <autoFilter ref="I3:M9" xr:uid="{99C9F926-9B3D-47FA-90A9-BE381815957D}"/>
  <tableColumns count="5">
    <tableColumn id="1" xr3:uid="{BD832AEC-5354-4915-8F30-96201997ACF0}" name="Product ID" dataDxfId="137"/>
    <tableColumn id="2" xr3:uid="{1C166EC3-ED98-4F12-9E9E-55E9B2C38A32}" name="Product Name" dataDxfId="136">
      <calculatedColumnFormula>VLOOKUP(I4,Products[],2,FALSE)</calculatedColumnFormula>
    </tableColumn>
    <tableColumn id="3" xr3:uid="{CBB13019-2356-471B-A8F1-B7F3C06F925F}" name="Net Sales" dataDxfId="135">
      <calculatedColumnFormula>SUMIFS(Sales_Table[Net Sale],Sales_Table[Product Name],J4,Sales_Table[Order Status],Sales_Table[[#This Row],[Order Status]])</calculatedColumnFormula>
    </tableColumn>
    <tableColumn id="4" xr3:uid="{C5DE2409-D9D4-4D28-9977-26DFD55128A6}" name="Profit" dataDxfId="134">
      <calculatedColumnFormula>SUMIFS(Sales_Table[Profit],Sales_Table[Sale Eligilblity],Sales_Table[[#This Row],[Sale Eligilblity]],Sales_Table[Product ID],Sales_Table[[#This Row],[Product ID]])</calculatedColumnFormula>
    </tableColumn>
    <tableColumn id="5" xr3:uid="{A38943E9-055F-4236-8735-67AF544B573B}" name="Quantity Sold" dataDxfId="133">
      <calculatedColumnFormula>SUMIFS(Sales_Table[Quantity],Sales_Table[Product ID],Sales_Table[[#This Row],[Product ID]],Sales_Table[Sale Eligilblity],Sales_Table[[#This Row],[Sale Eligilblity]])</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7C834C-9F10-4D87-A649-1C37EE0BA3E5}" name="Table8" displayName="Table8" ref="O3:S9" totalsRowShown="0" headerRowDxfId="132" dataDxfId="131">
  <autoFilter ref="O3:S9" xr:uid="{107C834C-9F10-4D87-A649-1C37EE0BA3E5}"/>
  <tableColumns count="5">
    <tableColumn id="1" xr3:uid="{59D2867F-41C3-4CCB-BD48-5A741CAFEAF4}" name="Employee ID" dataDxfId="130"/>
    <tableColumn id="2" xr3:uid="{D332C4CC-DE00-49D1-ABE8-5CB36DF2CD9F}" name="Employee Name" dataDxfId="129">
      <calculatedColumnFormula>VLOOKUP(O4,Employees[],MATCH(Employees[[#Headers],[Employee Name]],Employees[#Headers],0),FALSE)</calculatedColumnFormula>
    </tableColumn>
    <tableColumn id="3" xr3:uid="{5353A1CE-528F-4937-9F79-AF720BCEE769}" name="Net Sales" dataDxfId="128">
      <calculatedColumnFormula>SUMIFS(Sales_Table[Net Sale],Sales_Table[Employee ID],Analysis!O4,Sales_Table[Sale Eligilblity],Sales_Table[[#This Row],[Sale Eligilblity]])</calculatedColumnFormula>
    </tableColumn>
    <tableColumn id="4" xr3:uid="{C4A061F9-0417-49F7-8199-F261EFDAD988}" name="Profit" dataDxfId="127">
      <calculatedColumnFormula>SUMIFS(Sales_Table[Profit],Sales_Table[Employee ID],Analysis!O4,Sales_Table[Sale Eligilblity],Sales_Table[[#This Row],[Sale Eligilblity]])</calculatedColumnFormula>
    </tableColumn>
    <tableColumn id="5" xr3:uid="{325AABAD-AA73-474B-846F-921E882263B2}" name="Orders" dataDxfId="126">
      <calculatedColumnFormula>COUNTIFS(Sales_Table[Employee ID],Analysis!O4,Sales_Table[Sale Eligilblity],Sales_Table[[#This Row],[Sale Eligilblity]])</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9DD948D-9AE4-4D2F-BE21-066ECAB4BA34}" name="Table14" displayName="Table14" ref="AC3:AG7" totalsRowShown="0" headerRowDxfId="125" dataDxfId="124">
  <autoFilter ref="AC3:AG7" xr:uid="{89DD948D-9AE4-4D2F-BE21-066ECAB4BA34}"/>
  <tableColumns count="5">
    <tableColumn id="1" xr3:uid="{C99DC152-B51B-478F-BFB8-3D86ED2B6DF0}" name="Region" dataDxfId="123"/>
    <tableColumn id="2" xr3:uid="{4C43FA82-F257-455C-8493-0B66ABAFD8BD}" name="Target" dataDxfId="122">
      <calculatedColumnFormula>SUMIF(Targets!B2:B37,Analysis!AC4,Targets!C2:C37)</calculatedColumnFormula>
    </tableColumn>
    <tableColumn id="3" xr3:uid="{484F1538-79E8-4117-A44F-2C24F69A3AC3}" name="Actual Sales" dataDxfId="121">
      <calculatedColumnFormula>SUMIFS(Sales_Table[Net Sale],Sales_Table[Sale Eligilblity],Sales_Table[[#This Row],[Sale Eligilblity]],Sales_Table[Region],Analysis!AC4)</calculatedColumnFormula>
    </tableColumn>
    <tableColumn id="4" xr3:uid="{A1D1F1C4-152A-4456-987D-BD5F0157B100}" name="Variance" dataDxfId="120">
      <calculatedColumnFormula>AE4-AD4</calculatedColumnFormula>
    </tableColumn>
    <tableColumn id="5" xr3:uid="{D5F9B035-3760-492D-9C31-D4CA0E85563B}" name="Achievement %" dataDxfId="119" dataCellStyle="Per cent">
      <calculatedColumnFormula>AF4/AD4</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663D7B5-7C25-4E31-959B-BED58413A4EE}" name="Table15" displayName="Table15" ref="AI3:AJ7" totalsRowShown="0" dataDxfId="118">
  <autoFilter ref="AI3:AJ7" xr:uid="{0663D7B5-7C25-4E31-959B-BED58413A4EE}"/>
  <tableColumns count="2">
    <tableColumn id="1" xr3:uid="{DBB6971D-037E-4172-A8BA-2ADAB816B0C3}" name="Metric" dataDxfId="117"/>
    <tableColumn id="2" xr3:uid="{E5A30617-C41B-4863-BE72-E0710C51FC72}" name="Value" dataDxfId="11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A51891F-75F5-493F-9BB5-F6FB5722B82E}" name="Table27" displayName="Table27" ref="U3:Z15" totalsRowShown="0" dataDxfId="115">
  <autoFilter ref="U3:Z15" xr:uid="{1A51891F-75F5-493F-9BB5-F6FB5722B82E}"/>
  <tableColumns count="6">
    <tableColumn id="1" xr3:uid="{98FF5C94-A44A-432E-8465-32EB4D7C8213}" name="Month" dataDxfId="114">
      <calculatedColumnFormula>AE12</calculatedColumnFormula>
    </tableColumn>
    <tableColumn id="2" xr3:uid="{7184B050-59B8-4F80-A21B-85A120D2D8EA}" name="Net Sales" dataDxfId="113">
      <calculatedColumnFormula>AF12</calculatedColumnFormula>
    </tableColumn>
    <tableColumn id="3" xr3:uid="{3D48D648-6300-48AB-BDC6-D5C54518A733}" name="Profit" dataDxfId="112">
      <calculatedColumnFormula>AG12</calculatedColumnFormula>
    </tableColumn>
    <tableColumn id="4" xr3:uid="{BB62E5B2-D0DA-4C58-9ED8-1A454176349A}" name="Quantity" dataDxfId="111">
      <calculatedColumnFormula>AH12</calculatedColumnFormula>
    </tableColumn>
    <tableColumn id="5" xr3:uid="{C4674443-6BB9-42A2-9486-D397398D01FD}" name="Orders" dataDxfId="110">
      <calculatedColumnFormula>AI12</calculatedColumnFormula>
    </tableColumn>
    <tableColumn id="6" xr3:uid="{158DE2B8-4A57-4297-B40E-00C9D0B5AFEA}" name=" Growth %" dataDxfId="109" dataCellStyle="Per cent">
      <calculatedColumnFormula>AJ12</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91B8AB4-397A-4AA6-8C67-1CCC1A1EE42B}" name="Sales_Table_1" displayName="Sales_Table_1" ref="A1:Z121" tableType="queryTable" totalsRowShown="0">
  <autoFilter ref="A1:Z121" xr:uid="{F91B8AB4-397A-4AA6-8C67-1CCC1A1EE42B}"/>
  <tableColumns count="26">
    <tableColumn id="1" xr3:uid="{1BA23280-08BE-48EA-880B-4F0C6638A665}" uniqueName="1" name="Order ID" queryTableFieldId="1" dataDxfId="36"/>
    <tableColumn id="2" xr3:uid="{D4D3829A-A29E-4C5D-9C4E-1900F3BDDD7E}" uniqueName="2" name="Order Date" queryTableFieldId="2" dataDxfId="35"/>
    <tableColumn id="3" xr3:uid="{1F0E7BCD-0CAA-4297-9F37-5D19BB9BD54A}" uniqueName="3" name="Customer ID" queryTableFieldId="3" dataDxfId="34"/>
    <tableColumn id="4" xr3:uid="{D7772C01-8CD7-4352-BEDE-F15E5B5D6A3E}" uniqueName="4" name="Product ID" queryTableFieldId="4" dataDxfId="33"/>
    <tableColumn id="5" xr3:uid="{C5D20E99-54A2-435B-A376-B46A1E9E25F8}" uniqueName="5" name="Employee ID" queryTableFieldId="5" dataDxfId="32"/>
    <tableColumn id="6" xr3:uid="{C0F149E2-9787-4D90-97B4-127BCF3EC8FD}" uniqueName="6" name="Region" queryTableFieldId="6" dataDxfId="31"/>
    <tableColumn id="7" xr3:uid="{0BE84B46-3DEB-4867-A5BA-EEF95896B21E}" uniqueName="7" name="Order Status" queryTableFieldId="7" dataDxfId="30"/>
    <tableColumn id="8" xr3:uid="{8F657523-F4C0-4BAB-98D0-5E1D443DE9BC}" uniqueName="8" name="Payment Mode" queryTableFieldId="8" dataDxfId="29"/>
    <tableColumn id="9" xr3:uid="{DEF43B21-7E54-427A-88A3-02D093EA1338}" uniqueName="9" name="Quantity" queryTableFieldId="9"/>
    <tableColumn id="10" xr3:uid="{77BF7D41-A8DB-4A52-B8CC-56BF47307D69}" uniqueName="10" name="Unit Price" queryTableFieldId="10"/>
    <tableColumn id="11" xr3:uid="{8F23B308-8A2B-484E-A47E-163C321BF8BE}" uniqueName="11" name="Discount %" queryTableFieldId="11"/>
    <tableColumn id="12" xr3:uid="{BE868C31-F6C3-480F-A9BC-AD1EE11E0FA1}" uniqueName="12" name="Product Name" queryTableFieldId="12" dataDxfId="28"/>
    <tableColumn id="13" xr3:uid="{30A320FC-99C9-4455-AE84-59C274C6696D}" uniqueName="13" name="Employee Name" queryTableFieldId="13" dataDxfId="27"/>
    <tableColumn id="14" xr3:uid="{13E9E281-2A63-44CA-84A9-550A720D3725}" uniqueName="14" name="Customer Name" queryTableFieldId="14" dataDxfId="26"/>
    <tableColumn id="15" xr3:uid="{78512AE5-AE7A-4AC3-A052-AA44F916EB91}" uniqueName="15" name="Gross Sales" queryTableFieldId="15"/>
    <tableColumn id="16" xr3:uid="{BE4FF575-3D2F-43B9-A6CC-EBEF750372C4}" uniqueName="16" name="Discount" queryTableFieldId="16"/>
    <tableColumn id="17" xr3:uid="{3652144C-0575-4314-ABA5-F6680BA134A7}" uniqueName="17" name="Net Sale" queryTableFieldId="17"/>
    <tableColumn id="18" xr3:uid="{91B725E6-A385-4209-959D-7FDEA1D9C1CA}" uniqueName="18" name="Total Cost" queryTableFieldId="18"/>
    <tableColumn id="19" xr3:uid="{A280C11B-3F42-4F7F-B3C5-B7DEB50F147F}" uniqueName="19" name="Profit" queryTableFieldId="19"/>
    <tableColumn id="20" xr3:uid="{28DC9FB4-AB24-4076-B272-7F2B8E65970E}" uniqueName="20" name="profit%" queryTableFieldId="20"/>
    <tableColumn id="21" xr3:uid="{3A53C93D-21C5-4BF0-8A56-36F8834F00B4}" uniqueName="21" name="Month" queryTableFieldId="21" dataDxfId="25"/>
    <tableColumn id="22" xr3:uid="{4F950D1D-9608-4275-91E5-398911917516}" uniqueName="22" name="Year" queryTableFieldId="22"/>
    <tableColumn id="23" xr3:uid="{A770729E-0CAD-402C-A4CC-FFDD98C54513}" uniqueName="23" name="Days " queryTableFieldId="23" dataDxfId="24"/>
    <tableColumn id="24" xr3:uid="{DC142D9C-6D1A-447B-B621-CE48BA9C8DD9}" uniqueName="24" name="Weekned/Weekday" queryTableFieldId="24" dataDxfId="23"/>
    <tableColumn id="25" xr3:uid="{7EB167D5-6F8D-4694-A6F6-F2E38A6A44D8}" uniqueName="25" name="Sale Eligilblity" queryTableFieldId="25" dataDxfId="22"/>
    <tableColumn id="26" xr3:uid="{C1E125C4-CDF6-4E2E-9264-E8DDED41237F}" uniqueName="26" name="Retured" queryTableFieldId="26" dataDxfId="21"/>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9B97016-E240-4C05-9075-FCF2A6E8370A}" name="Products_1" displayName="Products_1" ref="A1:F7" tableType="queryTable" totalsRowShown="0">
  <autoFilter ref="A1:F7" xr:uid="{F9B97016-E240-4C05-9075-FCF2A6E8370A}"/>
  <tableColumns count="6">
    <tableColumn id="1" xr3:uid="{C58BF900-1C46-4078-B9F4-2346D046EE22}" uniqueName="1" name="Product ID" queryTableFieldId="1" dataDxfId="20"/>
    <tableColumn id="2" xr3:uid="{BAFA66DC-4BA1-4EC3-BC33-32C41FD2B257}" uniqueName="2" name="Product Name" queryTableFieldId="2" dataDxfId="19"/>
    <tableColumn id="3" xr3:uid="{AD63FBE5-BEA9-412C-92A7-CEEB09DF74EC}" uniqueName="3" name="Category" queryTableFieldId="3" dataDxfId="18"/>
    <tableColumn id="4" xr3:uid="{83A2969F-622D-4669-860D-D9F990576CFA}" uniqueName="4" name="Brand" queryTableFieldId="4" dataDxfId="17"/>
    <tableColumn id="5" xr3:uid="{58596D07-AB3F-4432-8205-ADF19C90D7FC}" uniqueName="5" name="Standard Cost" queryTableFieldId="5"/>
    <tableColumn id="6" xr3:uid="{2135B431-37D1-4C8F-96C8-BE965CBB9A4D}" uniqueName="6" name="Selling Price" queryTableFieldId="6"/>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492DFAB-3E3D-48F0-A304-899537F80041}" name="Customers_" displayName="Customers_" ref="A1:E11" tableType="queryTable" totalsRowShown="0">
  <autoFilter ref="A1:E11" xr:uid="{F492DFAB-3E3D-48F0-A304-899537F80041}"/>
  <tableColumns count="5">
    <tableColumn id="1" xr3:uid="{E79EC57F-32B1-4019-8335-BF4186BB6773}" uniqueName="1" name="Customer ID" queryTableFieldId="1" dataDxfId="16"/>
    <tableColumn id="2" xr3:uid="{0266B950-0B22-40D5-B807-6B2996DE4377}" uniqueName="2" name="Customer Name" queryTableFieldId="2" dataDxfId="15"/>
    <tableColumn id="3" xr3:uid="{B601E0E9-9A4E-46B5-A0FF-E4BE7D5A5D27}" uniqueName="3" name="Customer Type" queryTableFieldId="3" dataDxfId="14"/>
    <tableColumn id="4" xr3:uid="{72F4CD96-930A-4D57-A38B-95657298ED7C}" uniqueName="4" name="City" queryTableFieldId="4" dataDxfId="13"/>
    <tableColumn id="5" xr3:uid="{0D97713D-B633-4D30-8181-5B241A7FE793}" uniqueName="5" name="State" queryTableFieldId="5" dataDxfId="12"/>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8C34968-E63D-4ECB-84D4-B7D5E9786D65}" name="Targets_1" displayName="Targets_1" ref="A1:C37" tableType="queryTable" totalsRowShown="0">
  <autoFilter ref="A1:C37" xr:uid="{18C34968-E63D-4ECB-84D4-B7D5E9786D65}"/>
  <tableColumns count="3">
    <tableColumn id="1" xr3:uid="{7C101209-3329-4950-957A-36D9CDD0FCFE}" uniqueName="1" name="Month" queryTableFieldId="1" dataDxfId="11"/>
    <tableColumn id="2" xr3:uid="{75FEDB38-778E-4B72-8BD7-8C00F180D685}" uniqueName="2" name="Region" queryTableFieldId="2" dataDxfId="10"/>
    <tableColumn id="3" xr3:uid="{93F4B297-5BF1-49A5-A429-DBB80975683B}" uniqueName="3" name="Sales Target" queryTableFieldId="3" dataDxfId="9"/>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476C8FE-E845-4E94-9A79-66B835297A7A}" name="Returns_" displayName="Returns_" ref="A1:E7" tableType="queryTable" totalsRowShown="0">
  <autoFilter ref="A1:E7" xr:uid="{F476C8FE-E845-4E94-9A79-66B835297A7A}"/>
  <tableColumns count="5">
    <tableColumn id="1" xr3:uid="{CEDAC94D-7237-421E-BC0E-8A0CB329B6B9}" uniqueName="1" name="Return ID" queryTableFieldId="1" dataDxfId="8"/>
    <tableColumn id="2" xr3:uid="{F37D0FC2-5386-4FD5-8FA9-2CE37D78BFD1}" uniqueName="2" name="Order ID" queryTableFieldId="2" dataDxfId="7"/>
    <tableColumn id="3" xr3:uid="{46F5A8C9-4155-4979-8007-F6244E5F61EA}" uniqueName="3" name="Return Date" queryTableFieldId="3" dataDxfId="6"/>
    <tableColumn id="4" xr3:uid="{382FCEC7-5050-4B05-A00B-FADF319985AE}" uniqueName="4" name="Return Qty" queryTableFieldId="4"/>
    <tableColumn id="5" xr3:uid="{8F44FFEB-8C42-446E-B132-3F09A0365082}" uniqueName="5" name="Return Reason" queryTableFieldId="5" dataDxfId="5"/>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D3846-2643-4C73-A4A2-D8BE8E0A2469}" name="Employees_1" displayName="Employees_1" ref="A1:D7" tableType="queryTable" totalsRowShown="0">
  <autoFilter ref="A1:D7" xr:uid="{820D3846-2643-4C73-A4A2-D8BE8E0A2469}"/>
  <tableColumns count="4">
    <tableColumn id="1" xr3:uid="{03FA7CFC-D7E2-40D7-A365-A83AE08DA2A3}" uniqueName="1" name="Employee ID" queryTableFieldId="1" dataDxfId="4"/>
    <tableColumn id="2" xr3:uid="{3258DD57-14B9-430C-854A-6F809DADC062}" uniqueName="2" name="Employee Name" queryTableFieldId="2" dataDxfId="3"/>
    <tableColumn id="3" xr3:uid="{A950055A-CD3D-47AC-BAE5-524223454194}" uniqueName="3" name="Department" queryTableFieldId="3" dataDxfId="2"/>
    <tableColumn id="4" xr3:uid="{1C279895-3777-45D8-803C-B748F68F5B2F}" uniqueName="4" name="Joining Date"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85F528C-4499-450B-80B0-FEF3554AD0F9}" sourceName="[Sales_Table].[Order Date]">
  <pivotTables>
    <pivotTable tabId="8" name="Region Performance"/>
    <pivotTable tabId="8" name="Employee Performance"/>
    <pivotTable tabId="8" name="Monthly Sales"/>
    <pivotTable tabId="8" name="Order Status"/>
    <pivotTable tabId="8" name="Product Performance"/>
  </pivotTables>
  <state minimalRefreshVersion="6" lastRefreshVersion="6" pivotCacheId="198338865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8F6D2BD-77A3-498A-8295-1709136DC2F8}" cache="Timeline_Order_Date" caption="Order Date" level="2" selectionLevel="2" scrollPosition="2026-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printerSettings" Target="../printerSettings/printerSettings2.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A3CE0-22C8-48A8-AE75-F4118E68A47E}">
  <sheetPr>
    <tabColor theme="8"/>
  </sheetPr>
  <dimension ref="A1:Z121"/>
  <sheetViews>
    <sheetView topLeftCell="F1" workbookViewId="0">
      <selection activeCell="N3" sqref="N3"/>
    </sheetView>
  </sheetViews>
  <sheetFormatPr defaultRowHeight="14.5" x14ac:dyDescent="0.35"/>
  <cols>
    <col min="1" max="1" width="9.6328125" customWidth="1"/>
    <col min="2" max="2" width="11.7265625" customWidth="1"/>
    <col min="3" max="3" width="13.1796875" customWidth="1"/>
    <col min="4" max="4" width="11.54296875" customWidth="1"/>
    <col min="5" max="5" width="13.1796875" customWidth="1"/>
    <col min="6" max="6" width="9.54296875" bestFit="1" customWidth="1"/>
    <col min="7" max="7" width="13.1796875" customWidth="1"/>
    <col min="8" max="8" width="15.08984375" customWidth="1"/>
    <col min="9" max="9" width="10" customWidth="1"/>
    <col min="10" max="10" width="11" customWidth="1"/>
    <col min="11" max="11" width="12.26953125" customWidth="1"/>
    <col min="12" max="12" width="14.90625" bestFit="1" customWidth="1"/>
    <col min="13" max="14" width="16.6328125" bestFit="1" customWidth="1"/>
    <col min="15" max="15" width="12.7265625" bestFit="1" customWidth="1"/>
    <col min="16" max="16" width="10.6328125" bestFit="1" customWidth="1"/>
    <col min="17" max="17" width="10" bestFit="1" customWidth="1"/>
    <col min="18" max="18" width="11.36328125" bestFit="1" customWidth="1"/>
    <col min="21" max="21" width="14.36328125" bestFit="1" customWidth="1"/>
    <col min="24" max="24" width="19.453125" bestFit="1" customWidth="1"/>
    <col min="25" max="25" width="14.90625" bestFit="1" customWidth="1"/>
    <col min="26" max="26" width="9.7265625" bestFit="1" customWidth="1"/>
  </cols>
  <sheetData>
    <row r="1" spans="1:26" x14ac:dyDescent="0.35">
      <c r="A1" t="s">
        <v>0</v>
      </c>
      <c r="B1" t="s">
        <v>1</v>
      </c>
      <c r="C1" t="s">
        <v>2</v>
      </c>
      <c r="D1" t="s">
        <v>3</v>
      </c>
      <c r="E1" t="s">
        <v>4</v>
      </c>
      <c r="F1" t="s">
        <v>5</v>
      </c>
      <c r="G1" t="s">
        <v>6</v>
      </c>
      <c r="H1" t="s">
        <v>7</v>
      </c>
      <c r="I1" t="s">
        <v>8</v>
      </c>
      <c r="J1" t="s">
        <v>9</v>
      </c>
      <c r="K1" t="s">
        <v>10</v>
      </c>
      <c r="L1" t="s">
        <v>164</v>
      </c>
      <c r="M1" t="s">
        <v>205</v>
      </c>
      <c r="N1" t="s">
        <v>184</v>
      </c>
      <c r="O1" t="s">
        <v>215</v>
      </c>
      <c r="P1" t="s">
        <v>216</v>
      </c>
      <c r="Q1" t="s">
        <v>217</v>
      </c>
      <c r="R1" t="s">
        <v>218</v>
      </c>
      <c r="S1" t="s">
        <v>219</v>
      </c>
      <c r="T1" t="s">
        <v>220</v>
      </c>
      <c r="U1" t="s">
        <v>221</v>
      </c>
      <c r="V1" t="s">
        <v>222</v>
      </c>
      <c r="W1" t="s">
        <v>223</v>
      </c>
      <c r="X1" t="s">
        <v>224</v>
      </c>
      <c r="Y1" t="s">
        <v>225</v>
      </c>
      <c r="Z1" t="s">
        <v>226</v>
      </c>
    </row>
    <row r="2" spans="1:26" ht="15.5" x14ac:dyDescent="0.35">
      <c r="A2" s="20" t="s">
        <v>11</v>
      </c>
      <c r="B2" s="21">
        <v>46027</v>
      </c>
      <c r="C2" s="20" t="s">
        <v>12</v>
      </c>
      <c r="D2" s="20" t="s">
        <v>13</v>
      </c>
      <c r="E2" s="20" t="s">
        <v>14</v>
      </c>
      <c r="F2" s="20" t="s">
        <v>15</v>
      </c>
      <c r="G2" s="20" t="s">
        <v>16</v>
      </c>
      <c r="H2" s="20" t="s">
        <v>17</v>
      </c>
      <c r="I2" s="20">
        <v>5</v>
      </c>
      <c r="J2" s="20">
        <v>50000</v>
      </c>
      <c r="K2" s="22">
        <v>0.05</v>
      </c>
      <c r="L2" s="20" t="str">
        <f>_xlfn.XLOOKUP(Sales_Table[[#This Row],[Product ID]],Products[Product ID],Products[Product Name],"N",0)</f>
        <v>Laptop</v>
      </c>
      <c r="M2" s="20" t="str">
        <f>_xlfn.XLOOKUP(Sales_Table[[#This Row],[Employee ID]],Employees[Employee ID],Employees[Employee Name],"N",0)</f>
        <v>Rahul Kumar</v>
      </c>
      <c r="N2" s="20" t="str">
        <f>_xlfn.XLOOKUP(Sales_Table[[#This Row],[Customer ID]],Table22[Customer ID],Table22[Customer Name])</f>
        <v>ABC Technologies</v>
      </c>
      <c r="O2" s="23">
        <f>Sales_Table[[#This Row],[Unit Price]]*Sales_Table[[#This Row],[Quantity]]</f>
        <v>250000</v>
      </c>
      <c r="P2" s="23">
        <f>Sales_Table[[#This Row],[Gross Sales]]*Sales_Table[[#This Row],[Discount %]]</f>
        <v>12500</v>
      </c>
      <c r="Q2" s="23">
        <f>Sales_Table[[#This Row],[Gross Sales]]-Sales_Table[[#This Row],[Discount]]</f>
        <v>237500</v>
      </c>
      <c r="R2" s="23">
        <f>VLOOKUP(Sales_Table[[#This Row],[Product ID]],Products[],5,FALSE)*Sales_Table[[#This Row],[Quantity]]</f>
        <v>195000</v>
      </c>
      <c r="S2" s="23">
        <f>Sales_Table[[#This Row],[Net Sale]]-Sales_Table[[#This Row],[Total Cost]]</f>
        <v>42500</v>
      </c>
      <c r="T2" s="24">
        <f>Sales_Table[[#This Row],[Profit]]/Sales_Table[[#This Row],[Net Sale]]</f>
        <v>0.17894736842105263</v>
      </c>
      <c r="U2" s="23" t="str">
        <f>TEXT(Sales_Table[[#This Row],[Order Date]],"mmmm-YYYY")</f>
        <v>January-2026</v>
      </c>
      <c r="V2" s="25">
        <f>YEAR(Sales_Table[[#This Row],[Month]])</f>
        <v>2026</v>
      </c>
      <c r="W2" s="23" t="str">
        <f>TEXT(Sales_Table[[#This Row],[Order Date]],"DDDD")</f>
        <v>Monday</v>
      </c>
      <c r="X2" s="23" t="str">
        <f>IF(OR(Sales_Table[[#This Row],[Days ]]=$W$5,Sales_Table[[#This Row],[Days ]]=$W$8),"Weekned","Weekday")</f>
        <v>Weekday</v>
      </c>
      <c r="Y2" s="23" t="str">
        <f>IF(Sales_Table[[#This Row],[Order Status]]="Delivered","Y","N")</f>
        <v>Y</v>
      </c>
      <c r="Z2" s="23" t="str">
        <f>IF(Sales_Table[[#This Row],[Order Status]]="Returned","Yes","N")</f>
        <v>N</v>
      </c>
    </row>
    <row r="3" spans="1:26" ht="15.5" x14ac:dyDescent="0.35">
      <c r="A3" s="20" t="s">
        <v>18</v>
      </c>
      <c r="B3" s="21">
        <v>46028</v>
      </c>
      <c r="C3" s="20" t="s">
        <v>19</v>
      </c>
      <c r="D3" s="20" t="s">
        <v>20</v>
      </c>
      <c r="E3" s="20" t="s">
        <v>21</v>
      </c>
      <c r="F3" s="20" t="s">
        <v>22</v>
      </c>
      <c r="G3" s="20" t="s">
        <v>16</v>
      </c>
      <c r="H3" s="20" t="s">
        <v>23</v>
      </c>
      <c r="I3" s="20">
        <v>8</v>
      </c>
      <c r="J3" s="20">
        <v>25000</v>
      </c>
      <c r="K3" s="22">
        <v>0.1</v>
      </c>
      <c r="L3" s="20" t="str">
        <f>_xlfn.XLOOKUP(Sales_Table[[#This Row],[Product ID]],Products[Product ID],Products[Product Name],"N",0)</f>
        <v>Monitor</v>
      </c>
      <c r="M3" s="20" t="str">
        <f>_xlfn.XLOOKUP(Sales_Table[[#This Row],[Employee ID]],Employees[Employee ID],Employees[Employee Name],"N",0)</f>
        <v>Priya Sharma</v>
      </c>
      <c r="N3" s="20" t="str">
        <f>_xlfn.XLOOKUP(Sales_Table[[#This Row],[Customer ID]],Table22[Customer ID],Table22[Customer Name])</f>
        <v>Sri Lakshmi Traders</v>
      </c>
      <c r="O3" s="23">
        <f>Sales_Table[[#This Row],[Unit Price]]*Sales_Table[[#This Row],[Quantity]]</f>
        <v>200000</v>
      </c>
      <c r="P3" s="23">
        <f>Sales_Table[[#This Row],[Gross Sales]]*Sales_Table[[#This Row],[Discount %]]</f>
        <v>20000</v>
      </c>
      <c r="Q3" s="23">
        <f>Sales_Table[[#This Row],[Gross Sales]]-Sales_Table[[#This Row],[Discount]]</f>
        <v>180000</v>
      </c>
      <c r="R3" s="23">
        <f>VLOOKUP(Sales_Table[[#This Row],[Product ID]],Products[],5,FALSE)*Sales_Table[[#This Row],[Quantity]]</f>
        <v>152000</v>
      </c>
      <c r="S3" s="23">
        <f>Sales_Table[[#This Row],[Net Sale]]-Sales_Table[[#This Row],[Total Cost]]</f>
        <v>28000</v>
      </c>
      <c r="T3" s="24">
        <f>Sales_Table[[#This Row],[Profit]]/Sales_Table[[#This Row],[Net Sale]]</f>
        <v>0.15555555555555556</v>
      </c>
      <c r="U3" s="23" t="str">
        <f>TEXT(Sales_Table[[#This Row],[Order Date]],"mmmm-YYYY")</f>
        <v>January-2026</v>
      </c>
      <c r="V3" s="23">
        <f>YEAR(Sales_Table[[#This Row],[Month]])</f>
        <v>2026</v>
      </c>
      <c r="W3" s="23" t="str">
        <f>TEXT(Sales_Table[[#This Row],[Order Date]],"DDDD")</f>
        <v>Tuesday</v>
      </c>
      <c r="X3" s="23" t="str">
        <f>IF(OR(Sales_Table[[#This Row],[Days ]]=$W$5,Sales_Table[[#This Row],[Days ]]=$W$8),"Weekned","Weekday")</f>
        <v>Weekday</v>
      </c>
      <c r="Y3" s="23" t="str">
        <f>IF(Sales_Table[[#This Row],[Order Status]]="Delivered","Y","N")</f>
        <v>Y</v>
      </c>
      <c r="Z3" s="23" t="str">
        <f>IF(Sales_Table[[#This Row],[Order Status]]="Returned","Yes","N")</f>
        <v>N</v>
      </c>
    </row>
    <row r="4" spans="1:26" ht="15.5" x14ac:dyDescent="0.35">
      <c r="A4" s="20" t="s">
        <v>24</v>
      </c>
      <c r="B4" s="21">
        <v>46030</v>
      </c>
      <c r="C4" s="20" t="s">
        <v>25</v>
      </c>
      <c r="D4" s="20" t="s">
        <v>26</v>
      </c>
      <c r="E4" s="20" t="s">
        <v>27</v>
      </c>
      <c r="F4" s="20" t="s">
        <v>28</v>
      </c>
      <c r="G4" s="20" t="s">
        <v>16</v>
      </c>
      <c r="H4" s="20" t="s">
        <v>29</v>
      </c>
      <c r="I4" s="20">
        <v>15</v>
      </c>
      <c r="J4" s="20">
        <v>5000</v>
      </c>
      <c r="K4" s="22">
        <v>0.05</v>
      </c>
      <c r="L4" s="20" t="str">
        <f>_xlfn.XLOOKUP(Sales_Table[[#This Row],[Product ID]],Products[Product ID],Products[Product Name],"N",0)</f>
        <v>Keyboard</v>
      </c>
      <c r="M4" s="20" t="str">
        <f>_xlfn.XLOOKUP(Sales_Table[[#This Row],[Employee ID]],Employees[Employee ID],Employees[Employee Name],"N",0)</f>
        <v>Arjun Reddy</v>
      </c>
      <c r="N4" s="20" t="str">
        <f>_xlfn.XLOOKUP(Sales_Table[[#This Row],[Customer ID]],Table22[Customer ID],Table22[Customer Name])</f>
        <v>Vertex Solutions</v>
      </c>
      <c r="O4" s="23">
        <f>Sales_Table[[#This Row],[Unit Price]]*Sales_Table[[#This Row],[Quantity]]</f>
        <v>75000</v>
      </c>
      <c r="P4" s="23">
        <f>Sales_Table[[#This Row],[Gross Sales]]*Sales_Table[[#This Row],[Discount %]]</f>
        <v>3750</v>
      </c>
      <c r="Q4" s="23">
        <f>Sales_Table[[#This Row],[Gross Sales]]-Sales_Table[[#This Row],[Discount]]</f>
        <v>71250</v>
      </c>
      <c r="R4" s="23">
        <f>VLOOKUP(Sales_Table[[#This Row],[Product ID]],Products[],5,FALSE)*Sales_Table[[#This Row],[Quantity]]</f>
        <v>52500</v>
      </c>
      <c r="S4" s="23">
        <f>Sales_Table[[#This Row],[Net Sale]]-Sales_Table[[#This Row],[Total Cost]]</f>
        <v>18750</v>
      </c>
      <c r="T4" s="24">
        <f>Sales_Table[[#This Row],[Profit]]/Sales_Table[[#This Row],[Net Sale]]</f>
        <v>0.26315789473684209</v>
      </c>
      <c r="U4" s="23" t="str">
        <f>TEXT(Sales_Table[[#This Row],[Order Date]],"mmmm-YYYY")</f>
        <v>January-2026</v>
      </c>
      <c r="V4" s="23">
        <f>YEAR(Sales_Table[[#This Row],[Month]])</f>
        <v>2026</v>
      </c>
      <c r="W4" s="23" t="str">
        <f>TEXT(Sales_Table[[#This Row],[Order Date]],"DDDD")</f>
        <v>Thursday</v>
      </c>
      <c r="X4" s="23" t="str">
        <f>IF(OR(Sales_Table[[#This Row],[Days ]]=$W$5,Sales_Table[[#This Row],[Days ]]=$W$8),"Weekned","Weekday")</f>
        <v>Weekday</v>
      </c>
      <c r="Y4" s="23" t="str">
        <f>IF(Sales_Table[[#This Row],[Order Status]]="Delivered","Y","N")</f>
        <v>Y</v>
      </c>
      <c r="Z4" s="23" t="str">
        <f>IF(Sales_Table[[#This Row],[Order Status]]="Returned","Yes","N")</f>
        <v>N</v>
      </c>
    </row>
    <row r="5" spans="1:26" ht="15.5" x14ac:dyDescent="0.35">
      <c r="A5" s="20" t="s">
        <v>30</v>
      </c>
      <c r="B5" s="21">
        <v>46032</v>
      </c>
      <c r="C5" s="20" t="s">
        <v>31</v>
      </c>
      <c r="D5" s="20" t="s">
        <v>32</v>
      </c>
      <c r="E5" s="20" t="s">
        <v>33</v>
      </c>
      <c r="F5" s="20" t="s">
        <v>34</v>
      </c>
      <c r="G5" s="20" t="s">
        <v>16</v>
      </c>
      <c r="H5" s="20" t="s">
        <v>35</v>
      </c>
      <c r="I5" s="20">
        <v>20</v>
      </c>
      <c r="J5" s="20">
        <v>2000</v>
      </c>
      <c r="K5" s="22">
        <v>0</v>
      </c>
      <c r="L5" s="20" t="str">
        <f>_xlfn.XLOOKUP(Sales_Table[[#This Row],[Product ID]],Products[Product ID],Products[Product Name],"N",0)</f>
        <v>Mouse</v>
      </c>
      <c r="M5" s="20" t="str">
        <f>_xlfn.XLOOKUP(Sales_Table[[#This Row],[Employee ID]],Employees[Employee ID],Employees[Employee Name],"N",0)</f>
        <v>Sneha Patel</v>
      </c>
      <c r="N5" s="20" t="str">
        <f>_xlfn.XLOOKUP(Sales_Table[[#This Row],[Customer ID]],Table22[Customer ID],Table22[Customer Name])</f>
        <v>Royal Enterprises</v>
      </c>
      <c r="O5" s="23">
        <f>Sales_Table[[#This Row],[Unit Price]]*Sales_Table[[#This Row],[Quantity]]</f>
        <v>40000</v>
      </c>
      <c r="P5" s="23">
        <f>Sales_Table[[#This Row],[Gross Sales]]*Sales_Table[[#This Row],[Discount %]]</f>
        <v>0</v>
      </c>
      <c r="Q5" s="23">
        <f>Sales_Table[[#This Row],[Gross Sales]]-Sales_Table[[#This Row],[Discount]]</f>
        <v>40000</v>
      </c>
      <c r="R5" s="23">
        <f>VLOOKUP(Sales_Table[[#This Row],[Product ID]],Products[],5,FALSE)*Sales_Table[[#This Row],[Quantity]]</f>
        <v>24000</v>
      </c>
      <c r="S5" s="23">
        <f>Sales_Table[[#This Row],[Net Sale]]-Sales_Table[[#This Row],[Total Cost]]</f>
        <v>16000</v>
      </c>
      <c r="T5" s="24">
        <f>Sales_Table[[#This Row],[Profit]]/Sales_Table[[#This Row],[Net Sale]]</f>
        <v>0.4</v>
      </c>
      <c r="U5" s="23" t="str">
        <f>TEXT(Sales_Table[[#This Row],[Order Date]],"mmmm-YYYY")</f>
        <v>January-2026</v>
      </c>
      <c r="V5" s="23">
        <f>YEAR(Sales_Table[[#This Row],[Month]])</f>
        <v>2026</v>
      </c>
      <c r="W5" s="23" t="str">
        <f>TEXT(Sales_Table[[#This Row],[Order Date]],"DDDD")</f>
        <v>Saturday</v>
      </c>
      <c r="X5" s="23" t="str">
        <f>IF(OR(Sales_Table[[#This Row],[Days ]]=$W$5,Sales_Table[[#This Row],[Days ]]=$W$8),"Weekned","Weekday")</f>
        <v>Weekned</v>
      </c>
      <c r="Y5" s="23" t="str">
        <f>IF(Sales_Table[[#This Row],[Order Status]]="Delivered","Y","N")</f>
        <v>Y</v>
      </c>
      <c r="Z5" s="23" t="str">
        <f>IF(Sales_Table[[#This Row],[Order Status]]="Returned","Yes","N")</f>
        <v>N</v>
      </c>
    </row>
    <row r="6" spans="1:26" ht="15.5" x14ac:dyDescent="0.35">
      <c r="A6" s="20" t="s">
        <v>36</v>
      </c>
      <c r="B6" s="21">
        <v>46034</v>
      </c>
      <c r="C6" s="20" t="s">
        <v>37</v>
      </c>
      <c r="D6" s="20" t="s">
        <v>38</v>
      </c>
      <c r="E6" s="20" t="s">
        <v>39</v>
      </c>
      <c r="F6" s="20" t="s">
        <v>15</v>
      </c>
      <c r="G6" s="20" t="s">
        <v>16</v>
      </c>
      <c r="H6" s="20" t="s">
        <v>17</v>
      </c>
      <c r="I6" s="20">
        <v>6</v>
      </c>
      <c r="J6" s="20">
        <v>35000</v>
      </c>
      <c r="K6" s="22">
        <v>0.08</v>
      </c>
      <c r="L6" s="20" t="str">
        <f>_xlfn.XLOOKUP(Sales_Table[[#This Row],[Product ID]],Products[Product ID],Products[Product Name],"N",0)</f>
        <v>Printer</v>
      </c>
      <c r="M6" s="20" t="str">
        <f>_xlfn.XLOOKUP(Sales_Table[[#This Row],[Employee ID]],Employees[Employee ID],Employees[Employee Name],"N",0)</f>
        <v>Kiran Rao</v>
      </c>
      <c r="N6" s="20" t="str">
        <f>_xlfn.XLOOKUP(Sales_Table[[#This Row],[Customer ID]],Table22[Customer ID],Table22[Customer Name])</f>
        <v>TechNova Pvt Ltd</v>
      </c>
      <c r="O6" s="23">
        <f>Sales_Table[[#This Row],[Unit Price]]*Sales_Table[[#This Row],[Quantity]]</f>
        <v>210000</v>
      </c>
      <c r="P6" s="23">
        <f>Sales_Table[[#This Row],[Gross Sales]]*Sales_Table[[#This Row],[Discount %]]</f>
        <v>16800</v>
      </c>
      <c r="Q6" s="23">
        <f>Sales_Table[[#This Row],[Gross Sales]]-Sales_Table[[#This Row],[Discount]]</f>
        <v>193200</v>
      </c>
      <c r="R6" s="23">
        <f>VLOOKUP(Sales_Table[[#This Row],[Product ID]],Products[],5,FALSE)*Sales_Table[[#This Row],[Quantity]]</f>
        <v>162000</v>
      </c>
      <c r="S6" s="23">
        <f>Sales_Table[[#This Row],[Net Sale]]-Sales_Table[[#This Row],[Total Cost]]</f>
        <v>31200</v>
      </c>
      <c r="T6" s="24">
        <f>Sales_Table[[#This Row],[Profit]]/Sales_Table[[#This Row],[Net Sale]]</f>
        <v>0.16149068322981366</v>
      </c>
      <c r="U6" s="23" t="str">
        <f>TEXT(Sales_Table[[#This Row],[Order Date]],"mmmm-YYYY")</f>
        <v>January-2026</v>
      </c>
      <c r="V6" s="23">
        <f>YEAR(Sales_Table[[#This Row],[Month]])</f>
        <v>2026</v>
      </c>
      <c r="W6" s="23" t="str">
        <f>TEXT(Sales_Table[[#This Row],[Order Date]],"DDDD")</f>
        <v>Monday</v>
      </c>
      <c r="X6" s="23" t="str">
        <f>IF(OR(Sales_Table[[#This Row],[Days ]]=$W$5,Sales_Table[[#This Row],[Days ]]=$W$8),"Weekned","Weekday")</f>
        <v>Weekday</v>
      </c>
      <c r="Y6" s="23" t="str">
        <f>IF(Sales_Table[[#This Row],[Order Status]]="Delivered","Y","N")</f>
        <v>Y</v>
      </c>
      <c r="Z6" s="23" t="str">
        <f>IF(Sales_Table[[#This Row],[Order Status]]="Returned","Yes","N")</f>
        <v>N</v>
      </c>
    </row>
    <row r="7" spans="1:26" ht="15.5" x14ac:dyDescent="0.35">
      <c r="A7" s="20" t="s">
        <v>40</v>
      </c>
      <c r="B7" s="21">
        <v>46037</v>
      </c>
      <c r="C7" s="20" t="s">
        <v>41</v>
      </c>
      <c r="D7" s="20" t="s">
        <v>42</v>
      </c>
      <c r="E7" s="20" t="s">
        <v>43</v>
      </c>
      <c r="F7" s="20" t="s">
        <v>22</v>
      </c>
      <c r="G7" s="20" t="s">
        <v>16</v>
      </c>
      <c r="H7" s="20" t="s">
        <v>23</v>
      </c>
      <c r="I7" s="20">
        <v>12</v>
      </c>
      <c r="J7" s="20">
        <v>8000</v>
      </c>
      <c r="K7" s="22">
        <v>0.05</v>
      </c>
      <c r="L7" s="20" t="str">
        <f>_xlfn.XLOOKUP(Sales_Table[[#This Row],[Product ID]],Products[Product ID],Products[Product Name],"N",0)</f>
        <v>Headset</v>
      </c>
      <c r="M7" s="20" t="str">
        <f>_xlfn.XLOOKUP(Sales_Table[[#This Row],[Employee ID]],Employees[Employee ID],Employees[Employee Name],"N",0)</f>
        <v>Anjali Singh</v>
      </c>
      <c r="N7" s="20" t="str">
        <f>_xlfn.XLOOKUP(Sales_Table[[#This Row],[Customer ID]],Table22[Customer ID],Table22[Customer Name])</f>
        <v>Metro Computers</v>
      </c>
      <c r="O7" s="23">
        <f>Sales_Table[[#This Row],[Unit Price]]*Sales_Table[[#This Row],[Quantity]]</f>
        <v>96000</v>
      </c>
      <c r="P7" s="23">
        <f>Sales_Table[[#This Row],[Gross Sales]]*Sales_Table[[#This Row],[Discount %]]</f>
        <v>4800</v>
      </c>
      <c r="Q7" s="23">
        <f>Sales_Table[[#This Row],[Gross Sales]]-Sales_Table[[#This Row],[Discount]]</f>
        <v>91200</v>
      </c>
      <c r="R7" s="23">
        <f>VLOOKUP(Sales_Table[[#This Row],[Product ID]],Products[],5,FALSE)*Sales_Table[[#This Row],[Quantity]]</f>
        <v>62400</v>
      </c>
      <c r="S7" s="23">
        <f>Sales_Table[[#This Row],[Net Sale]]-Sales_Table[[#This Row],[Total Cost]]</f>
        <v>28800</v>
      </c>
      <c r="T7" s="24">
        <f>Sales_Table[[#This Row],[Profit]]/Sales_Table[[#This Row],[Net Sale]]</f>
        <v>0.31578947368421051</v>
      </c>
      <c r="U7" s="23" t="str">
        <f>TEXT(Sales_Table[[#This Row],[Order Date]],"mmmm-YYYY")</f>
        <v>January-2026</v>
      </c>
      <c r="V7" s="23">
        <f>YEAR(Sales_Table[[#This Row],[Month]])</f>
        <v>2026</v>
      </c>
      <c r="W7" s="23" t="str">
        <f>TEXT(Sales_Table[[#This Row],[Order Date]],"DDDD")</f>
        <v>Thursday</v>
      </c>
      <c r="X7" s="23" t="str">
        <f>IF(OR(Sales_Table[[#This Row],[Days ]]=$W$5,Sales_Table[[#This Row],[Days ]]=$W$8),"Weekned","Weekday")</f>
        <v>Weekday</v>
      </c>
      <c r="Y7" s="23" t="str">
        <f>IF(Sales_Table[[#This Row],[Order Status]]="Delivered","Y","N")</f>
        <v>Y</v>
      </c>
      <c r="Z7" s="23" t="str">
        <f>IF(Sales_Table[[#This Row],[Order Status]]="Returned","Yes","N")</f>
        <v>N</v>
      </c>
    </row>
    <row r="8" spans="1:26" ht="15.5" x14ac:dyDescent="0.35">
      <c r="A8" s="20" t="s">
        <v>44</v>
      </c>
      <c r="B8" s="21">
        <v>46040</v>
      </c>
      <c r="C8" s="20" t="s">
        <v>45</v>
      </c>
      <c r="D8" s="20" t="s">
        <v>13</v>
      </c>
      <c r="E8" s="20" t="s">
        <v>21</v>
      </c>
      <c r="F8" s="20" t="s">
        <v>28</v>
      </c>
      <c r="G8" s="20" t="s">
        <v>16</v>
      </c>
      <c r="H8" s="20" t="s">
        <v>29</v>
      </c>
      <c r="I8" s="20">
        <v>4</v>
      </c>
      <c r="J8" s="20">
        <v>50000</v>
      </c>
      <c r="K8" s="22">
        <v>0.1</v>
      </c>
      <c r="L8" s="20" t="str">
        <f>_xlfn.XLOOKUP(Sales_Table[[#This Row],[Product ID]],Products[Product ID],Products[Product Name],"N",0)</f>
        <v>Laptop</v>
      </c>
      <c r="M8" s="20" t="str">
        <f>_xlfn.XLOOKUP(Sales_Table[[#This Row],[Employee ID]],Employees[Employee ID],Employees[Employee Name],"N",0)</f>
        <v>Priya Sharma</v>
      </c>
      <c r="N8" s="20" t="str">
        <f>_xlfn.XLOOKUP(Sales_Table[[#This Row],[Customer ID]],Table22[Customer ID],Table22[Customer Name])</f>
        <v>Future Systems</v>
      </c>
      <c r="O8" s="23">
        <f>Sales_Table[[#This Row],[Unit Price]]*Sales_Table[[#This Row],[Quantity]]</f>
        <v>200000</v>
      </c>
      <c r="P8" s="23">
        <f>Sales_Table[[#This Row],[Gross Sales]]*Sales_Table[[#This Row],[Discount %]]</f>
        <v>20000</v>
      </c>
      <c r="Q8" s="23">
        <f>Sales_Table[[#This Row],[Gross Sales]]-Sales_Table[[#This Row],[Discount]]</f>
        <v>180000</v>
      </c>
      <c r="R8" s="23">
        <f>VLOOKUP(Sales_Table[[#This Row],[Product ID]],Products[],5,FALSE)*Sales_Table[[#This Row],[Quantity]]</f>
        <v>156000</v>
      </c>
      <c r="S8" s="23">
        <f>Sales_Table[[#This Row],[Net Sale]]-Sales_Table[[#This Row],[Total Cost]]</f>
        <v>24000</v>
      </c>
      <c r="T8" s="24">
        <f>Sales_Table[[#This Row],[Profit]]/Sales_Table[[#This Row],[Net Sale]]</f>
        <v>0.13333333333333333</v>
      </c>
      <c r="U8" s="23" t="str">
        <f>TEXT(Sales_Table[[#This Row],[Order Date]],"mmmm-YYYY")</f>
        <v>January-2026</v>
      </c>
      <c r="V8" s="23">
        <f>YEAR(Sales_Table[[#This Row],[Month]])</f>
        <v>2026</v>
      </c>
      <c r="W8" s="23" t="str">
        <f>TEXT(Sales_Table[[#This Row],[Order Date]],"DDDD")</f>
        <v>Sunday</v>
      </c>
      <c r="X8" s="23" t="str">
        <f>IF(OR(Sales_Table[[#This Row],[Days ]]=$W$5,Sales_Table[[#This Row],[Days ]]=$W$8),"Weekned","Weekday")</f>
        <v>Weekned</v>
      </c>
      <c r="Y8" s="23" t="str">
        <f>IF(Sales_Table[[#This Row],[Order Status]]="Delivered","Y","N")</f>
        <v>Y</v>
      </c>
      <c r="Z8" s="23" t="str">
        <f>IF(Sales_Table[[#This Row],[Order Status]]="Returned","Yes","N")</f>
        <v>N</v>
      </c>
    </row>
    <row r="9" spans="1:26" ht="15.5" x14ac:dyDescent="0.35">
      <c r="A9" s="20" t="s">
        <v>46</v>
      </c>
      <c r="B9" s="21">
        <v>46042</v>
      </c>
      <c r="C9" s="20" t="s">
        <v>47</v>
      </c>
      <c r="D9" s="20" t="s">
        <v>20</v>
      </c>
      <c r="E9" s="20" t="s">
        <v>27</v>
      </c>
      <c r="F9" s="20" t="s">
        <v>34</v>
      </c>
      <c r="G9" s="20" t="s">
        <v>16</v>
      </c>
      <c r="H9" s="20" t="s">
        <v>17</v>
      </c>
      <c r="I9" s="20">
        <v>10</v>
      </c>
      <c r="J9" s="20">
        <v>25000</v>
      </c>
      <c r="K9" s="22">
        <v>0.12</v>
      </c>
      <c r="L9" s="20" t="str">
        <f>_xlfn.XLOOKUP(Sales_Table[[#This Row],[Product ID]],Products[Product ID],Products[Product Name],"N",0)</f>
        <v>Monitor</v>
      </c>
      <c r="M9" s="20" t="str">
        <f>_xlfn.XLOOKUP(Sales_Table[[#This Row],[Employee ID]],Employees[Employee ID],Employees[Employee Name],"N",0)</f>
        <v>Arjun Reddy</v>
      </c>
      <c r="N9" s="20" t="str">
        <f>_xlfn.XLOOKUP(Sales_Table[[#This Row],[Customer ID]],Table22[Customer ID],Table22[Customer Name])</f>
        <v>Prime Digital</v>
      </c>
      <c r="O9" s="23">
        <f>Sales_Table[[#This Row],[Unit Price]]*Sales_Table[[#This Row],[Quantity]]</f>
        <v>250000</v>
      </c>
      <c r="P9" s="23">
        <f>Sales_Table[[#This Row],[Gross Sales]]*Sales_Table[[#This Row],[Discount %]]</f>
        <v>30000</v>
      </c>
      <c r="Q9" s="23">
        <f>Sales_Table[[#This Row],[Gross Sales]]-Sales_Table[[#This Row],[Discount]]</f>
        <v>220000</v>
      </c>
      <c r="R9" s="23">
        <f>VLOOKUP(Sales_Table[[#This Row],[Product ID]],Products[],5,FALSE)*Sales_Table[[#This Row],[Quantity]]</f>
        <v>190000</v>
      </c>
      <c r="S9" s="23">
        <f>Sales_Table[[#This Row],[Net Sale]]-Sales_Table[[#This Row],[Total Cost]]</f>
        <v>30000</v>
      </c>
      <c r="T9" s="24">
        <f>Sales_Table[[#This Row],[Profit]]/Sales_Table[[#This Row],[Net Sale]]</f>
        <v>0.13636363636363635</v>
      </c>
      <c r="U9" s="23" t="str">
        <f>TEXT(Sales_Table[[#This Row],[Order Date]],"mmmm-YYYY")</f>
        <v>January-2026</v>
      </c>
      <c r="V9" s="23">
        <f>YEAR(Sales_Table[[#This Row],[Month]])</f>
        <v>2026</v>
      </c>
      <c r="W9" s="23" t="str">
        <f>TEXT(Sales_Table[[#This Row],[Order Date]],"DDDD")</f>
        <v>Tuesday</v>
      </c>
      <c r="X9" s="23" t="str">
        <f>IF(OR(Sales_Table[[#This Row],[Days ]]=$W$5,Sales_Table[[#This Row],[Days ]]=$W$8),"Weekned","Weekday")</f>
        <v>Weekday</v>
      </c>
      <c r="Y9" s="23" t="str">
        <f>IF(Sales_Table[[#This Row],[Order Status]]="Delivered","Y","N")</f>
        <v>Y</v>
      </c>
      <c r="Z9" s="23" t="str">
        <f>IF(Sales_Table[[#This Row],[Order Status]]="Returned","Yes","N")</f>
        <v>N</v>
      </c>
    </row>
    <row r="10" spans="1:26" ht="15.5" x14ac:dyDescent="0.35">
      <c r="A10" s="20" t="s">
        <v>48</v>
      </c>
      <c r="B10" s="21">
        <v>46044</v>
      </c>
      <c r="C10" s="20" t="s">
        <v>49</v>
      </c>
      <c r="D10" s="20" t="s">
        <v>26</v>
      </c>
      <c r="E10" s="20" t="s">
        <v>33</v>
      </c>
      <c r="F10" s="20" t="s">
        <v>15</v>
      </c>
      <c r="G10" s="20" t="s">
        <v>16</v>
      </c>
      <c r="H10" s="20" t="s">
        <v>23</v>
      </c>
      <c r="I10" s="20">
        <v>25</v>
      </c>
      <c r="J10" s="20">
        <v>5000</v>
      </c>
      <c r="K10" s="22">
        <v>0.05</v>
      </c>
      <c r="L10" s="20" t="str">
        <f>_xlfn.XLOOKUP(Sales_Table[[#This Row],[Product ID]],Products[Product ID],Products[Product Name],"N",0)</f>
        <v>Keyboard</v>
      </c>
      <c r="M10" s="20" t="str">
        <f>_xlfn.XLOOKUP(Sales_Table[[#This Row],[Employee ID]],Employees[Employee ID],Employees[Employee Name],"N",0)</f>
        <v>Sneha Patel</v>
      </c>
      <c r="N10" s="20" t="str">
        <f>_xlfn.XLOOKUP(Sales_Table[[#This Row],[Customer ID]],Table22[Customer ID],Table22[Customer Name])</f>
        <v>Smart World</v>
      </c>
      <c r="O10" s="23">
        <f>Sales_Table[[#This Row],[Unit Price]]*Sales_Table[[#This Row],[Quantity]]</f>
        <v>125000</v>
      </c>
      <c r="P10" s="23">
        <f>Sales_Table[[#This Row],[Gross Sales]]*Sales_Table[[#This Row],[Discount %]]</f>
        <v>6250</v>
      </c>
      <c r="Q10" s="23">
        <f>Sales_Table[[#This Row],[Gross Sales]]-Sales_Table[[#This Row],[Discount]]</f>
        <v>118750</v>
      </c>
      <c r="R10" s="23">
        <f>VLOOKUP(Sales_Table[[#This Row],[Product ID]],Products[],5,FALSE)*Sales_Table[[#This Row],[Quantity]]</f>
        <v>87500</v>
      </c>
      <c r="S10" s="23">
        <f>Sales_Table[[#This Row],[Net Sale]]-Sales_Table[[#This Row],[Total Cost]]</f>
        <v>31250</v>
      </c>
      <c r="T10" s="24">
        <f>Sales_Table[[#This Row],[Profit]]/Sales_Table[[#This Row],[Net Sale]]</f>
        <v>0.26315789473684209</v>
      </c>
      <c r="U10" s="23" t="str">
        <f>TEXT(Sales_Table[[#This Row],[Order Date]],"mmmm-YYYY")</f>
        <v>January-2026</v>
      </c>
      <c r="V10" s="23">
        <f>YEAR(Sales_Table[[#This Row],[Month]])</f>
        <v>2026</v>
      </c>
      <c r="W10" s="23" t="str">
        <f>TEXT(Sales_Table[[#This Row],[Order Date]],"DDDD")</f>
        <v>Thursday</v>
      </c>
      <c r="X10" s="23" t="str">
        <f>IF(OR(Sales_Table[[#This Row],[Days ]]=$W$5,Sales_Table[[#This Row],[Days ]]=$W$8),"Weekned","Weekday")</f>
        <v>Weekday</v>
      </c>
      <c r="Y10" s="23" t="str">
        <f>IF(Sales_Table[[#This Row],[Order Status]]="Delivered","Y","N")</f>
        <v>Y</v>
      </c>
      <c r="Z10" s="23" t="str">
        <f>IF(Sales_Table[[#This Row],[Order Status]]="Returned","Yes","N")</f>
        <v>N</v>
      </c>
    </row>
    <row r="11" spans="1:26" ht="15.5" x14ac:dyDescent="0.35">
      <c r="A11" s="20" t="s">
        <v>50</v>
      </c>
      <c r="B11" s="21">
        <v>46047</v>
      </c>
      <c r="C11" s="20" t="s">
        <v>51</v>
      </c>
      <c r="D11" s="20" t="s">
        <v>32</v>
      </c>
      <c r="E11" s="20" t="s">
        <v>39</v>
      </c>
      <c r="F11" s="20" t="s">
        <v>22</v>
      </c>
      <c r="G11" s="20" t="s">
        <v>16</v>
      </c>
      <c r="H11" s="20" t="s">
        <v>35</v>
      </c>
      <c r="I11" s="20">
        <v>30</v>
      </c>
      <c r="J11" s="20">
        <v>2000</v>
      </c>
      <c r="K11" s="22">
        <v>0</v>
      </c>
      <c r="L11" s="20" t="str">
        <f>_xlfn.XLOOKUP(Sales_Table[[#This Row],[Product ID]],Products[Product ID],Products[Product Name],"N",0)</f>
        <v>Mouse</v>
      </c>
      <c r="M11" s="20" t="str">
        <f>_xlfn.XLOOKUP(Sales_Table[[#This Row],[Employee ID]],Employees[Employee ID],Employees[Employee Name],"N",0)</f>
        <v>Kiran Rao</v>
      </c>
      <c r="N11" s="20" t="str">
        <f>_xlfn.XLOOKUP(Sales_Table[[#This Row],[Customer ID]],Table22[Customer ID],Table22[Customer Name])</f>
        <v>NextGen Solutions</v>
      </c>
      <c r="O11" s="23">
        <f>Sales_Table[[#This Row],[Unit Price]]*Sales_Table[[#This Row],[Quantity]]</f>
        <v>60000</v>
      </c>
      <c r="P11" s="23">
        <f>Sales_Table[[#This Row],[Gross Sales]]*Sales_Table[[#This Row],[Discount %]]</f>
        <v>0</v>
      </c>
      <c r="Q11" s="23">
        <f>Sales_Table[[#This Row],[Gross Sales]]-Sales_Table[[#This Row],[Discount]]</f>
        <v>60000</v>
      </c>
      <c r="R11" s="23">
        <f>VLOOKUP(Sales_Table[[#This Row],[Product ID]],Products[],5,FALSE)*Sales_Table[[#This Row],[Quantity]]</f>
        <v>36000</v>
      </c>
      <c r="S11" s="23">
        <f>Sales_Table[[#This Row],[Net Sale]]-Sales_Table[[#This Row],[Total Cost]]</f>
        <v>24000</v>
      </c>
      <c r="T11" s="24">
        <f>Sales_Table[[#This Row],[Profit]]/Sales_Table[[#This Row],[Net Sale]]</f>
        <v>0.4</v>
      </c>
      <c r="U11" s="23" t="str">
        <f>TEXT(Sales_Table[[#This Row],[Order Date]],"mmmm-YYYY")</f>
        <v>January-2026</v>
      </c>
      <c r="V11" s="23">
        <f>YEAR(Sales_Table[[#This Row],[Month]])</f>
        <v>2026</v>
      </c>
      <c r="W11" s="23" t="str">
        <f>TEXT(Sales_Table[[#This Row],[Order Date]],"DDDD")</f>
        <v>Sunday</v>
      </c>
      <c r="X11" s="23" t="str">
        <f>IF(OR(Sales_Table[[#This Row],[Days ]]=$W$5,Sales_Table[[#This Row],[Days ]]=$W$8),"Weekned","Weekday")</f>
        <v>Weekned</v>
      </c>
      <c r="Y11" s="23" t="str">
        <f>IF(Sales_Table[[#This Row],[Order Status]]="Delivered","Y","N")</f>
        <v>Y</v>
      </c>
      <c r="Z11" s="23" t="str">
        <f>IF(Sales_Table[[#This Row],[Order Status]]="Returned","Yes","N")</f>
        <v>N</v>
      </c>
    </row>
    <row r="12" spans="1:26" ht="15.5" x14ac:dyDescent="0.35">
      <c r="A12" s="20" t="s">
        <v>52</v>
      </c>
      <c r="B12" s="21">
        <v>46050</v>
      </c>
      <c r="C12" s="20" t="s">
        <v>12</v>
      </c>
      <c r="D12" s="20" t="s">
        <v>38</v>
      </c>
      <c r="E12" s="20" t="s">
        <v>14</v>
      </c>
      <c r="F12" s="20" t="s">
        <v>28</v>
      </c>
      <c r="G12" s="20" t="s">
        <v>16</v>
      </c>
      <c r="H12" s="20" t="s">
        <v>29</v>
      </c>
      <c r="I12" s="20">
        <v>7</v>
      </c>
      <c r="J12" s="20">
        <v>35000</v>
      </c>
      <c r="K12" s="22">
        <v>0.1</v>
      </c>
      <c r="L12" s="20" t="str">
        <f>_xlfn.XLOOKUP(Sales_Table[[#This Row],[Product ID]],Products[Product ID],Products[Product Name],"N",0)</f>
        <v>Printer</v>
      </c>
      <c r="M12" s="20" t="str">
        <f>_xlfn.XLOOKUP(Sales_Table[[#This Row],[Employee ID]],Employees[Employee ID],Employees[Employee Name],"N",0)</f>
        <v>Rahul Kumar</v>
      </c>
      <c r="N12" s="20" t="str">
        <f>_xlfn.XLOOKUP(Sales_Table[[#This Row],[Customer ID]],Table22[Customer ID],Table22[Customer Name])</f>
        <v>ABC Technologies</v>
      </c>
      <c r="O12" s="23">
        <f>Sales_Table[[#This Row],[Unit Price]]*Sales_Table[[#This Row],[Quantity]]</f>
        <v>245000</v>
      </c>
      <c r="P12" s="23">
        <f>Sales_Table[[#This Row],[Gross Sales]]*Sales_Table[[#This Row],[Discount %]]</f>
        <v>24500</v>
      </c>
      <c r="Q12" s="23">
        <f>Sales_Table[[#This Row],[Gross Sales]]-Sales_Table[[#This Row],[Discount]]</f>
        <v>220500</v>
      </c>
      <c r="R12" s="23">
        <f>VLOOKUP(Sales_Table[[#This Row],[Product ID]],Products[],5,FALSE)*Sales_Table[[#This Row],[Quantity]]</f>
        <v>189000</v>
      </c>
      <c r="S12" s="23">
        <f>Sales_Table[[#This Row],[Net Sale]]-Sales_Table[[#This Row],[Total Cost]]</f>
        <v>31500</v>
      </c>
      <c r="T12" s="24">
        <f>Sales_Table[[#This Row],[Profit]]/Sales_Table[[#This Row],[Net Sale]]</f>
        <v>0.14285714285714285</v>
      </c>
      <c r="U12" s="23" t="str">
        <f>TEXT(Sales_Table[[#This Row],[Order Date]],"mmmm-YYYY")</f>
        <v>January-2026</v>
      </c>
      <c r="V12" s="23">
        <f>YEAR(Sales_Table[[#This Row],[Month]])</f>
        <v>2026</v>
      </c>
      <c r="W12" s="23" t="str">
        <f>TEXT(Sales_Table[[#This Row],[Order Date]],"DDDD")</f>
        <v>Wednesday</v>
      </c>
      <c r="X12" s="23" t="str">
        <f>IF(OR(Sales_Table[[#This Row],[Days ]]=$W$5,Sales_Table[[#This Row],[Days ]]=$W$8),"Weekned","Weekday")</f>
        <v>Weekday</v>
      </c>
      <c r="Y12" s="23" t="str">
        <f>IF(Sales_Table[[#This Row],[Order Status]]="Delivered","Y","N")</f>
        <v>Y</v>
      </c>
      <c r="Z12" s="23" t="str">
        <f>IF(Sales_Table[[#This Row],[Order Status]]="Returned","Yes","N")</f>
        <v>N</v>
      </c>
    </row>
    <row r="13" spans="1:26" ht="15.5" x14ac:dyDescent="0.35">
      <c r="A13" s="20" t="s">
        <v>53</v>
      </c>
      <c r="B13" s="21">
        <v>46052</v>
      </c>
      <c r="C13" s="20" t="s">
        <v>19</v>
      </c>
      <c r="D13" s="20" t="s">
        <v>42</v>
      </c>
      <c r="E13" s="20" t="s">
        <v>43</v>
      </c>
      <c r="F13" s="20" t="s">
        <v>34</v>
      </c>
      <c r="G13" s="20" t="s">
        <v>16</v>
      </c>
      <c r="H13" s="20" t="s">
        <v>23</v>
      </c>
      <c r="I13" s="20">
        <v>15</v>
      </c>
      <c r="J13" s="20">
        <v>8000</v>
      </c>
      <c r="K13" s="22">
        <v>0.05</v>
      </c>
      <c r="L13" s="20" t="str">
        <f>_xlfn.XLOOKUP(Sales_Table[[#This Row],[Product ID]],Products[Product ID],Products[Product Name],"N",0)</f>
        <v>Headset</v>
      </c>
      <c r="M13" s="20" t="str">
        <f>_xlfn.XLOOKUP(Sales_Table[[#This Row],[Employee ID]],Employees[Employee ID],Employees[Employee Name],"N",0)</f>
        <v>Anjali Singh</v>
      </c>
      <c r="N13" s="20" t="str">
        <f>_xlfn.XLOOKUP(Sales_Table[[#This Row],[Customer ID]],Table22[Customer ID],Table22[Customer Name])</f>
        <v>Sri Lakshmi Traders</v>
      </c>
      <c r="O13" s="23">
        <f>Sales_Table[[#This Row],[Unit Price]]*Sales_Table[[#This Row],[Quantity]]</f>
        <v>120000</v>
      </c>
      <c r="P13" s="23">
        <f>Sales_Table[[#This Row],[Gross Sales]]*Sales_Table[[#This Row],[Discount %]]</f>
        <v>6000</v>
      </c>
      <c r="Q13" s="23">
        <f>Sales_Table[[#This Row],[Gross Sales]]-Sales_Table[[#This Row],[Discount]]</f>
        <v>114000</v>
      </c>
      <c r="R13" s="23">
        <f>VLOOKUP(Sales_Table[[#This Row],[Product ID]],Products[],5,FALSE)*Sales_Table[[#This Row],[Quantity]]</f>
        <v>78000</v>
      </c>
      <c r="S13" s="23">
        <f>Sales_Table[[#This Row],[Net Sale]]-Sales_Table[[#This Row],[Total Cost]]</f>
        <v>36000</v>
      </c>
      <c r="T13" s="24">
        <f>Sales_Table[[#This Row],[Profit]]/Sales_Table[[#This Row],[Net Sale]]</f>
        <v>0.31578947368421051</v>
      </c>
      <c r="U13" s="23" t="str">
        <f>TEXT(Sales_Table[[#This Row],[Order Date]],"mmmm-YYYY")</f>
        <v>January-2026</v>
      </c>
      <c r="V13" s="23">
        <f>YEAR(Sales_Table[[#This Row],[Month]])</f>
        <v>2026</v>
      </c>
      <c r="W13" s="23" t="str">
        <f>TEXT(Sales_Table[[#This Row],[Order Date]],"DDDD")</f>
        <v>Friday</v>
      </c>
      <c r="X13" s="23" t="str">
        <f>IF(OR(Sales_Table[[#This Row],[Days ]]=$W$5,Sales_Table[[#This Row],[Days ]]=$W$8),"Weekned","Weekday")</f>
        <v>Weekday</v>
      </c>
      <c r="Y13" s="23" t="str">
        <f>IF(Sales_Table[[#This Row],[Order Status]]="Delivered","Y","N")</f>
        <v>Y</v>
      </c>
      <c r="Z13" s="23" t="str">
        <f>IF(Sales_Table[[#This Row],[Order Status]]="Returned","Yes","N")</f>
        <v>N</v>
      </c>
    </row>
    <row r="14" spans="1:26" ht="15.5" x14ac:dyDescent="0.35">
      <c r="A14" s="20" t="s">
        <v>54</v>
      </c>
      <c r="B14" s="21">
        <v>46056</v>
      </c>
      <c r="C14" s="20" t="s">
        <v>25</v>
      </c>
      <c r="D14" s="20" t="s">
        <v>13</v>
      </c>
      <c r="E14" s="20" t="s">
        <v>27</v>
      </c>
      <c r="F14" s="20" t="s">
        <v>15</v>
      </c>
      <c r="G14" s="20" t="s">
        <v>16</v>
      </c>
      <c r="H14" s="20" t="s">
        <v>17</v>
      </c>
      <c r="I14" s="20">
        <v>3</v>
      </c>
      <c r="J14" s="20">
        <v>50000</v>
      </c>
      <c r="K14" s="22">
        <v>0.05</v>
      </c>
      <c r="L14" s="20" t="str">
        <f>_xlfn.XLOOKUP(Sales_Table[[#This Row],[Product ID]],Products[Product ID],Products[Product Name],"N",0)</f>
        <v>Laptop</v>
      </c>
      <c r="M14" s="20" t="str">
        <f>_xlfn.XLOOKUP(Sales_Table[[#This Row],[Employee ID]],Employees[Employee ID],Employees[Employee Name],"N",0)</f>
        <v>Arjun Reddy</v>
      </c>
      <c r="N14" s="20" t="str">
        <f>_xlfn.XLOOKUP(Sales_Table[[#This Row],[Customer ID]],Table22[Customer ID],Table22[Customer Name])</f>
        <v>Vertex Solutions</v>
      </c>
      <c r="O14" s="23">
        <f>Sales_Table[[#This Row],[Unit Price]]*Sales_Table[[#This Row],[Quantity]]</f>
        <v>150000</v>
      </c>
      <c r="P14" s="23">
        <f>Sales_Table[[#This Row],[Gross Sales]]*Sales_Table[[#This Row],[Discount %]]</f>
        <v>7500</v>
      </c>
      <c r="Q14" s="23">
        <f>Sales_Table[[#This Row],[Gross Sales]]-Sales_Table[[#This Row],[Discount]]</f>
        <v>142500</v>
      </c>
      <c r="R14" s="23">
        <f>VLOOKUP(Sales_Table[[#This Row],[Product ID]],Products[],5,FALSE)*Sales_Table[[#This Row],[Quantity]]</f>
        <v>117000</v>
      </c>
      <c r="S14" s="23">
        <f>Sales_Table[[#This Row],[Net Sale]]-Sales_Table[[#This Row],[Total Cost]]</f>
        <v>25500</v>
      </c>
      <c r="T14" s="24">
        <f>Sales_Table[[#This Row],[Profit]]/Sales_Table[[#This Row],[Net Sale]]</f>
        <v>0.17894736842105263</v>
      </c>
      <c r="U14" s="23" t="str">
        <f>TEXT(Sales_Table[[#This Row],[Order Date]],"mmmm-YYYY")</f>
        <v>February-2026</v>
      </c>
      <c r="V14" s="23">
        <f>YEAR(Sales_Table[[#This Row],[Month]])</f>
        <v>2026</v>
      </c>
      <c r="W14" s="23" t="str">
        <f>TEXT(Sales_Table[[#This Row],[Order Date]],"DDDD")</f>
        <v>Tuesday</v>
      </c>
      <c r="X14" s="23" t="str">
        <f>IF(OR(Sales_Table[[#This Row],[Days ]]=$W$5,Sales_Table[[#This Row],[Days ]]=$W$8),"Weekned","Weekday")</f>
        <v>Weekday</v>
      </c>
      <c r="Y14" s="23" t="str">
        <f>IF(Sales_Table[[#This Row],[Order Status]]="Delivered","Y","N")</f>
        <v>Y</v>
      </c>
      <c r="Z14" s="23" t="str">
        <f>IF(Sales_Table[[#This Row],[Order Status]]="Returned","Yes","N")</f>
        <v>N</v>
      </c>
    </row>
    <row r="15" spans="1:26" ht="15.5" x14ac:dyDescent="0.35">
      <c r="A15" s="20" t="s">
        <v>55</v>
      </c>
      <c r="B15" s="21">
        <v>46058</v>
      </c>
      <c r="C15" s="20" t="s">
        <v>31</v>
      </c>
      <c r="D15" s="20" t="s">
        <v>20</v>
      </c>
      <c r="E15" s="20" t="s">
        <v>33</v>
      </c>
      <c r="F15" s="20" t="s">
        <v>22</v>
      </c>
      <c r="G15" s="20" t="s">
        <v>16</v>
      </c>
      <c r="H15" s="20" t="s">
        <v>29</v>
      </c>
      <c r="I15" s="20">
        <v>12</v>
      </c>
      <c r="J15" s="20">
        <v>25000</v>
      </c>
      <c r="K15" s="22">
        <v>0.08</v>
      </c>
      <c r="L15" s="20" t="str">
        <f>_xlfn.XLOOKUP(Sales_Table[[#This Row],[Product ID]],Products[Product ID],Products[Product Name],"N",0)</f>
        <v>Monitor</v>
      </c>
      <c r="M15" s="20" t="str">
        <f>_xlfn.XLOOKUP(Sales_Table[[#This Row],[Employee ID]],Employees[Employee ID],Employees[Employee Name],"N",0)</f>
        <v>Sneha Patel</v>
      </c>
      <c r="N15" s="20" t="str">
        <f>_xlfn.XLOOKUP(Sales_Table[[#This Row],[Customer ID]],Table22[Customer ID],Table22[Customer Name])</f>
        <v>Royal Enterprises</v>
      </c>
      <c r="O15" s="23">
        <f>Sales_Table[[#This Row],[Unit Price]]*Sales_Table[[#This Row],[Quantity]]</f>
        <v>300000</v>
      </c>
      <c r="P15" s="23">
        <f>Sales_Table[[#This Row],[Gross Sales]]*Sales_Table[[#This Row],[Discount %]]</f>
        <v>24000</v>
      </c>
      <c r="Q15" s="23">
        <f>Sales_Table[[#This Row],[Gross Sales]]-Sales_Table[[#This Row],[Discount]]</f>
        <v>276000</v>
      </c>
      <c r="R15" s="23">
        <f>VLOOKUP(Sales_Table[[#This Row],[Product ID]],Products[],5,FALSE)*Sales_Table[[#This Row],[Quantity]]</f>
        <v>228000</v>
      </c>
      <c r="S15" s="23">
        <f>Sales_Table[[#This Row],[Net Sale]]-Sales_Table[[#This Row],[Total Cost]]</f>
        <v>48000</v>
      </c>
      <c r="T15" s="24">
        <f>Sales_Table[[#This Row],[Profit]]/Sales_Table[[#This Row],[Net Sale]]</f>
        <v>0.17391304347826086</v>
      </c>
      <c r="U15" s="23" t="str">
        <f>TEXT(Sales_Table[[#This Row],[Order Date]],"mmmm-YYYY")</f>
        <v>February-2026</v>
      </c>
      <c r="V15" s="23">
        <f>YEAR(Sales_Table[[#This Row],[Month]])</f>
        <v>2026</v>
      </c>
      <c r="W15" s="23" t="str">
        <f>TEXT(Sales_Table[[#This Row],[Order Date]],"DDDD")</f>
        <v>Thursday</v>
      </c>
      <c r="X15" s="23" t="str">
        <f>IF(OR(Sales_Table[[#This Row],[Days ]]=$W$5,Sales_Table[[#This Row],[Days ]]=$W$8),"Weekned","Weekday")</f>
        <v>Weekday</v>
      </c>
      <c r="Y15" s="23" t="str">
        <f>IF(Sales_Table[[#This Row],[Order Status]]="Delivered","Y","N")</f>
        <v>Y</v>
      </c>
      <c r="Z15" s="23" t="str">
        <f>IF(Sales_Table[[#This Row],[Order Status]]="Returned","Yes","N")</f>
        <v>N</v>
      </c>
    </row>
    <row r="16" spans="1:26" ht="15.5" x14ac:dyDescent="0.35">
      <c r="A16" s="20" t="s">
        <v>56</v>
      </c>
      <c r="B16" s="21">
        <v>46061</v>
      </c>
      <c r="C16" s="20" t="s">
        <v>37</v>
      </c>
      <c r="D16" s="20" t="s">
        <v>26</v>
      </c>
      <c r="E16" s="20" t="s">
        <v>39</v>
      </c>
      <c r="F16" s="20" t="s">
        <v>28</v>
      </c>
      <c r="G16" s="20" t="s">
        <v>57</v>
      </c>
      <c r="H16" s="20" t="s">
        <v>23</v>
      </c>
      <c r="I16" s="20">
        <v>18</v>
      </c>
      <c r="J16" s="20">
        <v>5000</v>
      </c>
      <c r="K16" s="22">
        <v>0.05</v>
      </c>
      <c r="L16" s="20" t="str">
        <f>_xlfn.XLOOKUP(Sales_Table[[#This Row],[Product ID]],Products[Product ID],Products[Product Name],"N",0)</f>
        <v>Keyboard</v>
      </c>
      <c r="M16" s="20" t="str">
        <f>_xlfn.XLOOKUP(Sales_Table[[#This Row],[Employee ID]],Employees[Employee ID],Employees[Employee Name],"N",0)</f>
        <v>Kiran Rao</v>
      </c>
      <c r="N16" s="20" t="str">
        <f>_xlfn.XLOOKUP(Sales_Table[[#This Row],[Customer ID]],Table22[Customer ID],Table22[Customer Name])</f>
        <v>TechNova Pvt Ltd</v>
      </c>
      <c r="O16" s="23">
        <f>Sales_Table[[#This Row],[Unit Price]]*Sales_Table[[#This Row],[Quantity]]</f>
        <v>90000</v>
      </c>
      <c r="P16" s="23">
        <f>Sales_Table[[#This Row],[Gross Sales]]*Sales_Table[[#This Row],[Discount %]]</f>
        <v>4500</v>
      </c>
      <c r="Q16" s="23">
        <f>Sales_Table[[#This Row],[Gross Sales]]-Sales_Table[[#This Row],[Discount]]</f>
        <v>85500</v>
      </c>
      <c r="R16" s="23">
        <f>VLOOKUP(Sales_Table[[#This Row],[Product ID]],Products[],5,FALSE)*Sales_Table[[#This Row],[Quantity]]</f>
        <v>63000</v>
      </c>
      <c r="S16" s="23">
        <f>Sales_Table[[#This Row],[Net Sale]]-Sales_Table[[#This Row],[Total Cost]]</f>
        <v>22500</v>
      </c>
      <c r="T16" s="24">
        <f>Sales_Table[[#This Row],[Profit]]/Sales_Table[[#This Row],[Net Sale]]</f>
        <v>0.26315789473684209</v>
      </c>
      <c r="U16" s="23" t="str">
        <f>TEXT(Sales_Table[[#This Row],[Order Date]],"mmmm-YYYY")</f>
        <v>February-2026</v>
      </c>
      <c r="V16" s="23">
        <f>YEAR(Sales_Table[[#This Row],[Month]])</f>
        <v>2026</v>
      </c>
      <c r="W16" s="23" t="str">
        <f>TEXT(Sales_Table[[#This Row],[Order Date]],"DDDD")</f>
        <v>Sunday</v>
      </c>
      <c r="X16" s="23" t="str">
        <f>IF(OR(Sales_Table[[#This Row],[Days ]]=$W$5,Sales_Table[[#This Row],[Days ]]=$W$8),"Weekned","Weekday")</f>
        <v>Weekned</v>
      </c>
      <c r="Y16" s="23" t="str">
        <f>IF(Sales_Table[[#This Row],[Order Status]]="Delivered","Y","N")</f>
        <v>N</v>
      </c>
      <c r="Z16" s="23" t="str">
        <f>IF(Sales_Table[[#This Row],[Order Status]]="Returned","Yes","N")</f>
        <v>Yes</v>
      </c>
    </row>
    <row r="17" spans="1:26" ht="15.5" x14ac:dyDescent="0.35">
      <c r="A17" s="20" t="s">
        <v>58</v>
      </c>
      <c r="B17" s="21">
        <v>46063</v>
      </c>
      <c r="C17" s="20" t="s">
        <v>41</v>
      </c>
      <c r="D17" s="20" t="s">
        <v>32</v>
      </c>
      <c r="E17" s="20" t="s">
        <v>43</v>
      </c>
      <c r="F17" s="20" t="s">
        <v>34</v>
      </c>
      <c r="G17" s="20" t="s">
        <v>16</v>
      </c>
      <c r="H17" s="20" t="s">
        <v>35</v>
      </c>
      <c r="I17" s="20">
        <v>25</v>
      </c>
      <c r="J17" s="20">
        <v>2000</v>
      </c>
      <c r="K17" s="22">
        <v>0</v>
      </c>
      <c r="L17" s="20" t="str">
        <f>_xlfn.XLOOKUP(Sales_Table[[#This Row],[Product ID]],Products[Product ID],Products[Product Name],"N",0)</f>
        <v>Mouse</v>
      </c>
      <c r="M17" s="20" t="str">
        <f>_xlfn.XLOOKUP(Sales_Table[[#This Row],[Employee ID]],Employees[Employee ID],Employees[Employee Name],"N",0)</f>
        <v>Anjali Singh</v>
      </c>
      <c r="N17" s="20" t="str">
        <f>_xlfn.XLOOKUP(Sales_Table[[#This Row],[Customer ID]],Table22[Customer ID],Table22[Customer Name])</f>
        <v>Metro Computers</v>
      </c>
      <c r="O17" s="23">
        <f>Sales_Table[[#This Row],[Unit Price]]*Sales_Table[[#This Row],[Quantity]]</f>
        <v>50000</v>
      </c>
      <c r="P17" s="23">
        <f>Sales_Table[[#This Row],[Gross Sales]]*Sales_Table[[#This Row],[Discount %]]</f>
        <v>0</v>
      </c>
      <c r="Q17" s="23">
        <f>Sales_Table[[#This Row],[Gross Sales]]-Sales_Table[[#This Row],[Discount]]</f>
        <v>50000</v>
      </c>
      <c r="R17" s="23">
        <f>VLOOKUP(Sales_Table[[#This Row],[Product ID]],Products[],5,FALSE)*Sales_Table[[#This Row],[Quantity]]</f>
        <v>30000</v>
      </c>
      <c r="S17" s="23">
        <f>Sales_Table[[#This Row],[Net Sale]]-Sales_Table[[#This Row],[Total Cost]]</f>
        <v>20000</v>
      </c>
      <c r="T17" s="24">
        <f>Sales_Table[[#This Row],[Profit]]/Sales_Table[[#This Row],[Net Sale]]</f>
        <v>0.4</v>
      </c>
      <c r="U17" s="23" t="str">
        <f>TEXT(Sales_Table[[#This Row],[Order Date]],"mmmm-YYYY")</f>
        <v>February-2026</v>
      </c>
      <c r="V17" s="23">
        <f>YEAR(Sales_Table[[#This Row],[Month]])</f>
        <v>2026</v>
      </c>
      <c r="W17" s="23" t="str">
        <f>TEXT(Sales_Table[[#This Row],[Order Date]],"DDDD")</f>
        <v>Tuesday</v>
      </c>
      <c r="X17" s="23" t="str">
        <f>IF(OR(Sales_Table[[#This Row],[Days ]]=$W$5,Sales_Table[[#This Row],[Days ]]=$W$8),"Weekned","Weekday")</f>
        <v>Weekday</v>
      </c>
      <c r="Y17" s="23" t="str">
        <f>IF(Sales_Table[[#This Row],[Order Status]]="Delivered","Y","N")</f>
        <v>Y</v>
      </c>
      <c r="Z17" s="23" t="str">
        <f>IF(Sales_Table[[#This Row],[Order Status]]="Returned","Yes","N")</f>
        <v>N</v>
      </c>
    </row>
    <row r="18" spans="1:26" ht="15.5" x14ac:dyDescent="0.35">
      <c r="A18" s="20" t="s">
        <v>59</v>
      </c>
      <c r="B18" s="21">
        <v>46068</v>
      </c>
      <c r="C18" s="20" t="s">
        <v>45</v>
      </c>
      <c r="D18" s="20" t="s">
        <v>38</v>
      </c>
      <c r="E18" s="20" t="s">
        <v>14</v>
      </c>
      <c r="F18" s="20" t="s">
        <v>15</v>
      </c>
      <c r="G18" s="20" t="s">
        <v>16</v>
      </c>
      <c r="H18" s="20" t="s">
        <v>17</v>
      </c>
      <c r="I18" s="20">
        <v>5</v>
      </c>
      <c r="J18" s="20">
        <v>35000</v>
      </c>
      <c r="K18" s="22">
        <v>0.1</v>
      </c>
      <c r="L18" s="20" t="str">
        <f>_xlfn.XLOOKUP(Sales_Table[[#This Row],[Product ID]],Products[Product ID],Products[Product Name],"N",0)</f>
        <v>Printer</v>
      </c>
      <c r="M18" s="20" t="str">
        <f>_xlfn.XLOOKUP(Sales_Table[[#This Row],[Employee ID]],Employees[Employee ID],Employees[Employee Name],"N",0)</f>
        <v>Rahul Kumar</v>
      </c>
      <c r="N18" s="20" t="str">
        <f>_xlfn.XLOOKUP(Sales_Table[[#This Row],[Customer ID]],Table22[Customer ID],Table22[Customer Name])</f>
        <v>Future Systems</v>
      </c>
      <c r="O18" s="23">
        <f>Sales_Table[[#This Row],[Unit Price]]*Sales_Table[[#This Row],[Quantity]]</f>
        <v>175000</v>
      </c>
      <c r="P18" s="23">
        <f>Sales_Table[[#This Row],[Gross Sales]]*Sales_Table[[#This Row],[Discount %]]</f>
        <v>17500</v>
      </c>
      <c r="Q18" s="23">
        <f>Sales_Table[[#This Row],[Gross Sales]]-Sales_Table[[#This Row],[Discount]]</f>
        <v>157500</v>
      </c>
      <c r="R18" s="23">
        <f>VLOOKUP(Sales_Table[[#This Row],[Product ID]],Products[],5,FALSE)*Sales_Table[[#This Row],[Quantity]]</f>
        <v>135000</v>
      </c>
      <c r="S18" s="23">
        <f>Sales_Table[[#This Row],[Net Sale]]-Sales_Table[[#This Row],[Total Cost]]</f>
        <v>22500</v>
      </c>
      <c r="T18" s="24">
        <f>Sales_Table[[#This Row],[Profit]]/Sales_Table[[#This Row],[Net Sale]]</f>
        <v>0.14285714285714285</v>
      </c>
      <c r="U18" s="23" t="str">
        <f>TEXT(Sales_Table[[#This Row],[Order Date]],"mmmm-YYYY")</f>
        <v>February-2026</v>
      </c>
      <c r="V18" s="23">
        <f>YEAR(Sales_Table[[#This Row],[Month]])</f>
        <v>2026</v>
      </c>
      <c r="W18" s="23" t="str">
        <f>TEXT(Sales_Table[[#This Row],[Order Date]],"DDDD")</f>
        <v>Sunday</v>
      </c>
      <c r="X18" s="23" t="str">
        <f>IF(OR(Sales_Table[[#This Row],[Days ]]=$W$5,Sales_Table[[#This Row],[Days ]]=$W$8),"Weekned","Weekday")</f>
        <v>Weekned</v>
      </c>
      <c r="Y18" s="23" t="str">
        <f>IF(Sales_Table[[#This Row],[Order Status]]="Delivered","Y","N")</f>
        <v>Y</v>
      </c>
      <c r="Z18" s="23" t="str">
        <f>IF(Sales_Table[[#This Row],[Order Status]]="Returned","Yes","N")</f>
        <v>N</v>
      </c>
    </row>
    <row r="19" spans="1:26" ht="15.5" x14ac:dyDescent="0.35">
      <c r="A19" s="20" t="s">
        <v>60</v>
      </c>
      <c r="B19" s="21">
        <v>46073</v>
      </c>
      <c r="C19" s="20" t="s">
        <v>47</v>
      </c>
      <c r="D19" s="20" t="s">
        <v>13</v>
      </c>
      <c r="E19" s="20" t="s">
        <v>21</v>
      </c>
      <c r="F19" s="20" t="s">
        <v>22</v>
      </c>
      <c r="G19" s="20" t="s">
        <v>16</v>
      </c>
      <c r="H19" s="20" t="s">
        <v>23</v>
      </c>
      <c r="I19" s="20">
        <v>6</v>
      </c>
      <c r="J19" s="20">
        <v>50000</v>
      </c>
      <c r="K19" s="22">
        <v>0.12</v>
      </c>
      <c r="L19" s="20" t="str">
        <f>_xlfn.XLOOKUP(Sales_Table[[#This Row],[Product ID]],Products[Product ID],Products[Product Name],"N",0)</f>
        <v>Laptop</v>
      </c>
      <c r="M19" s="20" t="str">
        <f>_xlfn.XLOOKUP(Sales_Table[[#This Row],[Employee ID]],Employees[Employee ID],Employees[Employee Name],"N",0)</f>
        <v>Priya Sharma</v>
      </c>
      <c r="N19" s="20" t="str">
        <f>_xlfn.XLOOKUP(Sales_Table[[#This Row],[Customer ID]],Table22[Customer ID],Table22[Customer Name])</f>
        <v>Prime Digital</v>
      </c>
      <c r="O19" s="23">
        <f>Sales_Table[[#This Row],[Unit Price]]*Sales_Table[[#This Row],[Quantity]]</f>
        <v>300000</v>
      </c>
      <c r="P19" s="23">
        <f>Sales_Table[[#This Row],[Gross Sales]]*Sales_Table[[#This Row],[Discount %]]</f>
        <v>36000</v>
      </c>
      <c r="Q19" s="23">
        <f>Sales_Table[[#This Row],[Gross Sales]]-Sales_Table[[#This Row],[Discount]]</f>
        <v>264000</v>
      </c>
      <c r="R19" s="23">
        <f>VLOOKUP(Sales_Table[[#This Row],[Product ID]],Products[],5,FALSE)*Sales_Table[[#This Row],[Quantity]]</f>
        <v>234000</v>
      </c>
      <c r="S19" s="23">
        <f>Sales_Table[[#This Row],[Net Sale]]-Sales_Table[[#This Row],[Total Cost]]</f>
        <v>30000</v>
      </c>
      <c r="T19" s="24">
        <f>Sales_Table[[#This Row],[Profit]]/Sales_Table[[#This Row],[Net Sale]]</f>
        <v>0.11363636363636363</v>
      </c>
      <c r="U19" s="23" t="str">
        <f>TEXT(Sales_Table[[#This Row],[Order Date]],"mmmm-YYYY")</f>
        <v>February-2026</v>
      </c>
      <c r="V19" s="23">
        <f>YEAR(Sales_Table[[#This Row],[Month]])</f>
        <v>2026</v>
      </c>
      <c r="W19" s="23" t="str">
        <f>TEXT(Sales_Table[[#This Row],[Order Date]],"DDDD")</f>
        <v>Friday</v>
      </c>
      <c r="X19" s="23" t="str">
        <f>IF(OR(Sales_Table[[#This Row],[Days ]]=$W$5,Sales_Table[[#This Row],[Days ]]=$W$8),"Weekned","Weekday")</f>
        <v>Weekday</v>
      </c>
      <c r="Y19" s="23" t="str">
        <f>IF(Sales_Table[[#This Row],[Order Status]]="Delivered","Y","N")</f>
        <v>Y</v>
      </c>
      <c r="Z19" s="23" t="str">
        <f>IF(Sales_Table[[#This Row],[Order Status]]="Returned","Yes","N")</f>
        <v>N</v>
      </c>
    </row>
    <row r="20" spans="1:26" ht="15.5" x14ac:dyDescent="0.35">
      <c r="A20" s="20" t="s">
        <v>61</v>
      </c>
      <c r="B20" s="21">
        <v>46075</v>
      </c>
      <c r="C20" s="20" t="s">
        <v>49</v>
      </c>
      <c r="D20" s="20" t="s">
        <v>42</v>
      </c>
      <c r="E20" s="20" t="s">
        <v>27</v>
      </c>
      <c r="F20" s="20" t="s">
        <v>28</v>
      </c>
      <c r="G20" s="20" t="s">
        <v>16</v>
      </c>
      <c r="H20" s="20" t="s">
        <v>29</v>
      </c>
      <c r="I20" s="20">
        <v>20</v>
      </c>
      <c r="J20" s="20">
        <v>8000</v>
      </c>
      <c r="K20" s="22">
        <v>0.05</v>
      </c>
      <c r="L20" s="20" t="str">
        <f>_xlfn.XLOOKUP(Sales_Table[[#This Row],[Product ID]],Products[Product ID],Products[Product Name],"N",0)</f>
        <v>Headset</v>
      </c>
      <c r="M20" s="20" t="str">
        <f>_xlfn.XLOOKUP(Sales_Table[[#This Row],[Employee ID]],Employees[Employee ID],Employees[Employee Name],"N",0)</f>
        <v>Arjun Reddy</v>
      </c>
      <c r="N20" s="20" t="str">
        <f>_xlfn.XLOOKUP(Sales_Table[[#This Row],[Customer ID]],Table22[Customer ID],Table22[Customer Name])</f>
        <v>Smart World</v>
      </c>
      <c r="O20" s="23">
        <f>Sales_Table[[#This Row],[Unit Price]]*Sales_Table[[#This Row],[Quantity]]</f>
        <v>160000</v>
      </c>
      <c r="P20" s="23">
        <f>Sales_Table[[#This Row],[Gross Sales]]*Sales_Table[[#This Row],[Discount %]]</f>
        <v>8000</v>
      </c>
      <c r="Q20" s="23">
        <f>Sales_Table[[#This Row],[Gross Sales]]-Sales_Table[[#This Row],[Discount]]</f>
        <v>152000</v>
      </c>
      <c r="R20" s="23">
        <f>VLOOKUP(Sales_Table[[#This Row],[Product ID]],Products[],5,FALSE)*Sales_Table[[#This Row],[Quantity]]</f>
        <v>104000</v>
      </c>
      <c r="S20" s="23">
        <f>Sales_Table[[#This Row],[Net Sale]]-Sales_Table[[#This Row],[Total Cost]]</f>
        <v>48000</v>
      </c>
      <c r="T20" s="24">
        <f>Sales_Table[[#This Row],[Profit]]/Sales_Table[[#This Row],[Net Sale]]</f>
        <v>0.31578947368421051</v>
      </c>
      <c r="U20" s="23" t="str">
        <f>TEXT(Sales_Table[[#This Row],[Order Date]],"mmmm-YYYY")</f>
        <v>February-2026</v>
      </c>
      <c r="V20" s="23">
        <f>YEAR(Sales_Table[[#This Row],[Month]])</f>
        <v>2026</v>
      </c>
      <c r="W20" s="23" t="str">
        <f>TEXT(Sales_Table[[#This Row],[Order Date]],"DDDD")</f>
        <v>Sunday</v>
      </c>
      <c r="X20" s="23" t="str">
        <f>IF(OR(Sales_Table[[#This Row],[Days ]]=$W$5,Sales_Table[[#This Row],[Days ]]=$W$8),"Weekned","Weekday")</f>
        <v>Weekned</v>
      </c>
      <c r="Y20" s="23" t="str">
        <f>IF(Sales_Table[[#This Row],[Order Status]]="Delivered","Y","N")</f>
        <v>Y</v>
      </c>
      <c r="Z20" s="23" t="str">
        <f>IF(Sales_Table[[#This Row],[Order Status]]="Returned","Yes","N")</f>
        <v>N</v>
      </c>
    </row>
    <row r="21" spans="1:26" ht="15.5" x14ac:dyDescent="0.35">
      <c r="A21" s="20" t="s">
        <v>62</v>
      </c>
      <c r="B21" s="21">
        <v>46078</v>
      </c>
      <c r="C21" s="20" t="s">
        <v>51</v>
      </c>
      <c r="D21" s="20" t="s">
        <v>20</v>
      </c>
      <c r="E21" s="20" t="s">
        <v>33</v>
      </c>
      <c r="F21" s="20" t="s">
        <v>34</v>
      </c>
      <c r="G21" s="20" t="s">
        <v>16</v>
      </c>
      <c r="H21" s="20" t="s">
        <v>17</v>
      </c>
      <c r="I21" s="20">
        <v>9</v>
      </c>
      <c r="J21" s="20">
        <v>25000</v>
      </c>
      <c r="K21" s="22">
        <v>0.08</v>
      </c>
      <c r="L21" s="20" t="str">
        <f>_xlfn.XLOOKUP(Sales_Table[[#This Row],[Product ID]],Products[Product ID],Products[Product Name],"N",0)</f>
        <v>Monitor</v>
      </c>
      <c r="M21" s="20" t="str">
        <f>_xlfn.XLOOKUP(Sales_Table[[#This Row],[Employee ID]],Employees[Employee ID],Employees[Employee Name],"N",0)</f>
        <v>Sneha Patel</v>
      </c>
      <c r="N21" s="20" t="str">
        <f>_xlfn.XLOOKUP(Sales_Table[[#This Row],[Customer ID]],Table22[Customer ID],Table22[Customer Name])</f>
        <v>NextGen Solutions</v>
      </c>
      <c r="O21" s="23">
        <f>Sales_Table[[#This Row],[Unit Price]]*Sales_Table[[#This Row],[Quantity]]</f>
        <v>225000</v>
      </c>
      <c r="P21" s="23">
        <f>Sales_Table[[#This Row],[Gross Sales]]*Sales_Table[[#This Row],[Discount %]]</f>
        <v>18000</v>
      </c>
      <c r="Q21" s="23">
        <f>Sales_Table[[#This Row],[Gross Sales]]-Sales_Table[[#This Row],[Discount]]</f>
        <v>207000</v>
      </c>
      <c r="R21" s="23">
        <f>VLOOKUP(Sales_Table[[#This Row],[Product ID]],Products[],5,FALSE)*Sales_Table[[#This Row],[Quantity]]</f>
        <v>171000</v>
      </c>
      <c r="S21" s="23">
        <f>Sales_Table[[#This Row],[Net Sale]]-Sales_Table[[#This Row],[Total Cost]]</f>
        <v>36000</v>
      </c>
      <c r="T21" s="24">
        <f>Sales_Table[[#This Row],[Profit]]/Sales_Table[[#This Row],[Net Sale]]</f>
        <v>0.17391304347826086</v>
      </c>
      <c r="U21" s="23" t="str">
        <f>TEXT(Sales_Table[[#This Row],[Order Date]],"mmmm-YYYY")</f>
        <v>February-2026</v>
      </c>
      <c r="V21" s="23">
        <f>YEAR(Sales_Table[[#This Row],[Month]])</f>
        <v>2026</v>
      </c>
      <c r="W21" s="23" t="str">
        <f>TEXT(Sales_Table[[#This Row],[Order Date]],"DDDD")</f>
        <v>Wednesday</v>
      </c>
      <c r="X21" s="23" t="str">
        <f>IF(OR(Sales_Table[[#This Row],[Days ]]=$W$5,Sales_Table[[#This Row],[Days ]]=$W$8),"Weekned","Weekday")</f>
        <v>Weekday</v>
      </c>
      <c r="Y21" s="23" t="str">
        <f>IF(Sales_Table[[#This Row],[Order Status]]="Delivered","Y","N")</f>
        <v>Y</v>
      </c>
      <c r="Z21" s="23" t="str">
        <f>IF(Sales_Table[[#This Row],[Order Status]]="Returned","Yes","N")</f>
        <v>N</v>
      </c>
    </row>
    <row r="22" spans="1:26" ht="15.5" x14ac:dyDescent="0.35">
      <c r="A22" s="20" t="s">
        <v>63</v>
      </c>
      <c r="B22" s="21">
        <v>46083</v>
      </c>
      <c r="C22" s="20" t="s">
        <v>12</v>
      </c>
      <c r="D22" s="20" t="s">
        <v>26</v>
      </c>
      <c r="E22" s="20" t="s">
        <v>39</v>
      </c>
      <c r="F22" s="20" t="s">
        <v>15</v>
      </c>
      <c r="G22" s="20" t="s">
        <v>16</v>
      </c>
      <c r="H22" s="20" t="s">
        <v>23</v>
      </c>
      <c r="I22" s="20">
        <v>30</v>
      </c>
      <c r="J22" s="20">
        <v>5000</v>
      </c>
      <c r="K22" s="22">
        <v>0.05</v>
      </c>
      <c r="L22" s="20" t="str">
        <f>_xlfn.XLOOKUP(Sales_Table[[#This Row],[Product ID]],Products[Product ID],Products[Product Name],"N",0)</f>
        <v>Keyboard</v>
      </c>
      <c r="M22" s="20" t="str">
        <f>_xlfn.XLOOKUP(Sales_Table[[#This Row],[Employee ID]],Employees[Employee ID],Employees[Employee Name],"N",0)</f>
        <v>Kiran Rao</v>
      </c>
      <c r="N22" s="20" t="str">
        <f>_xlfn.XLOOKUP(Sales_Table[[#This Row],[Customer ID]],Table22[Customer ID],Table22[Customer Name])</f>
        <v>ABC Technologies</v>
      </c>
      <c r="O22" s="23">
        <f>Sales_Table[[#This Row],[Unit Price]]*Sales_Table[[#This Row],[Quantity]]</f>
        <v>150000</v>
      </c>
      <c r="P22" s="23">
        <f>Sales_Table[[#This Row],[Gross Sales]]*Sales_Table[[#This Row],[Discount %]]</f>
        <v>7500</v>
      </c>
      <c r="Q22" s="23">
        <f>Sales_Table[[#This Row],[Gross Sales]]-Sales_Table[[#This Row],[Discount]]</f>
        <v>142500</v>
      </c>
      <c r="R22" s="23">
        <f>VLOOKUP(Sales_Table[[#This Row],[Product ID]],Products[],5,FALSE)*Sales_Table[[#This Row],[Quantity]]</f>
        <v>105000</v>
      </c>
      <c r="S22" s="23">
        <f>Sales_Table[[#This Row],[Net Sale]]-Sales_Table[[#This Row],[Total Cost]]</f>
        <v>37500</v>
      </c>
      <c r="T22" s="24">
        <f>Sales_Table[[#This Row],[Profit]]/Sales_Table[[#This Row],[Net Sale]]</f>
        <v>0.26315789473684209</v>
      </c>
      <c r="U22" s="23" t="str">
        <f>TEXT(Sales_Table[[#This Row],[Order Date]],"mmmm-YYYY")</f>
        <v>March-2026</v>
      </c>
      <c r="V22" s="23">
        <f>YEAR(Sales_Table[[#This Row],[Month]])</f>
        <v>2026</v>
      </c>
      <c r="W22" s="23" t="str">
        <f>TEXT(Sales_Table[[#This Row],[Order Date]],"DDDD")</f>
        <v>Monday</v>
      </c>
      <c r="X22" s="23" t="str">
        <f>IF(OR(Sales_Table[[#This Row],[Days ]]=$W$5,Sales_Table[[#This Row],[Days ]]=$W$8),"Weekned","Weekday")</f>
        <v>Weekday</v>
      </c>
      <c r="Y22" s="23" t="str">
        <f>IF(Sales_Table[[#This Row],[Order Status]]="Delivered","Y","N")</f>
        <v>Y</v>
      </c>
      <c r="Z22" s="23" t="str">
        <f>IF(Sales_Table[[#This Row],[Order Status]]="Returned","Yes","N")</f>
        <v>N</v>
      </c>
    </row>
    <row r="23" spans="1:26" ht="15.5" x14ac:dyDescent="0.35">
      <c r="A23" s="20" t="s">
        <v>64</v>
      </c>
      <c r="B23" s="21">
        <v>46086</v>
      </c>
      <c r="C23" s="20" t="s">
        <v>19</v>
      </c>
      <c r="D23" s="20" t="s">
        <v>32</v>
      </c>
      <c r="E23" s="20" t="s">
        <v>43</v>
      </c>
      <c r="F23" s="20" t="s">
        <v>22</v>
      </c>
      <c r="G23" s="20" t="s">
        <v>65</v>
      </c>
      <c r="H23" s="20" t="s">
        <v>35</v>
      </c>
      <c r="I23" s="20">
        <v>35</v>
      </c>
      <c r="J23" s="20">
        <v>2000</v>
      </c>
      <c r="K23" s="22">
        <v>0</v>
      </c>
      <c r="L23" s="20" t="str">
        <f>_xlfn.XLOOKUP(Sales_Table[[#This Row],[Product ID]],Products[Product ID],Products[Product Name],"N",0)</f>
        <v>Mouse</v>
      </c>
      <c r="M23" s="20" t="str">
        <f>_xlfn.XLOOKUP(Sales_Table[[#This Row],[Employee ID]],Employees[Employee ID],Employees[Employee Name],"N",0)</f>
        <v>Anjali Singh</v>
      </c>
      <c r="N23" s="20" t="str">
        <f>_xlfn.XLOOKUP(Sales_Table[[#This Row],[Customer ID]],Table22[Customer ID],Table22[Customer Name])</f>
        <v>Sri Lakshmi Traders</v>
      </c>
      <c r="O23" s="23">
        <f>Sales_Table[[#This Row],[Unit Price]]*Sales_Table[[#This Row],[Quantity]]</f>
        <v>70000</v>
      </c>
      <c r="P23" s="23">
        <f>Sales_Table[[#This Row],[Gross Sales]]*Sales_Table[[#This Row],[Discount %]]</f>
        <v>0</v>
      </c>
      <c r="Q23" s="23">
        <f>Sales_Table[[#This Row],[Gross Sales]]-Sales_Table[[#This Row],[Discount]]</f>
        <v>70000</v>
      </c>
      <c r="R23" s="23">
        <f>VLOOKUP(Sales_Table[[#This Row],[Product ID]],Products[],5,FALSE)*Sales_Table[[#This Row],[Quantity]]</f>
        <v>42000</v>
      </c>
      <c r="S23" s="23">
        <f>Sales_Table[[#This Row],[Net Sale]]-Sales_Table[[#This Row],[Total Cost]]</f>
        <v>28000</v>
      </c>
      <c r="T23" s="24">
        <f>Sales_Table[[#This Row],[Profit]]/Sales_Table[[#This Row],[Net Sale]]</f>
        <v>0.4</v>
      </c>
      <c r="U23" s="23" t="str">
        <f>TEXT(Sales_Table[[#This Row],[Order Date]],"mmmm-YYYY")</f>
        <v>March-2026</v>
      </c>
      <c r="V23" s="23">
        <f>YEAR(Sales_Table[[#This Row],[Month]])</f>
        <v>2026</v>
      </c>
      <c r="W23" s="23" t="str">
        <f>TEXT(Sales_Table[[#This Row],[Order Date]],"DDDD")</f>
        <v>Thursday</v>
      </c>
      <c r="X23" s="23" t="str">
        <f>IF(OR(Sales_Table[[#This Row],[Days ]]=$W$5,Sales_Table[[#This Row],[Days ]]=$W$8),"Weekned","Weekday")</f>
        <v>Weekday</v>
      </c>
      <c r="Y23" s="23" t="str">
        <f>IF(Sales_Table[[#This Row],[Order Status]]="Delivered","Y","N")</f>
        <v>N</v>
      </c>
      <c r="Z23" s="23" t="str">
        <f>IF(Sales_Table[[#This Row],[Order Status]]="Returned","Yes","N")</f>
        <v>N</v>
      </c>
    </row>
    <row r="24" spans="1:26" ht="15.5" x14ac:dyDescent="0.35">
      <c r="A24" s="20" t="s">
        <v>66</v>
      </c>
      <c r="B24" s="21">
        <v>46089</v>
      </c>
      <c r="C24" s="20" t="s">
        <v>25</v>
      </c>
      <c r="D24" s="20" t="s">
        <v>38</v>
      </c>
      <c r="E24" s="20" t="s">
        <v>14</v>
      </c>
      <c r="F24" s="20" t="s">
        <v>28</v>
      </c>
      <c r="G24" s="20" t="s">
        <v>16</v>
      </c>
      <c r="H24" s="20" t="s">
        <v>29</v>
      </c>
      <c r="I24" s="20">
        <v>8</v>
      </c>
      <c r="J24" s="20">
        <v>35000</v>
      </c>
      <c r="K24" s="22">
        <v>0.1</v>
      </c>
      <c r="L24" s="20" t="str">
        <f>_xlfn.XLOOKUP(Sales_Table[[#This Row],[Product ID]],Products[Product ID],Products[Product Name],"N",0)</f>
        <v>Printer</v>
      </c>
      <c r="M24" s="20" t="str">
        <f>_xlfn.XLOOKUP(Sales_Table[[#This Row],[Employee ID]],Employees[Employee ID],Employees[Employee Name],"N",0)</f>
        <v>Rahul Kumar</v>
      </c>
      <c r="N24" s="20" t="str">
        <f>_xlfn.XLOOKUP(Sales_Table[[#This Row],[Customer ID]],Table22[Customer ID],Table22[Customer Name])</f>
        <v>Vertex Solutions</v>
      </c>
      <c r="O24" s="23">
        <f>Sales_Table[[#This Row],[Unit Price]]*Sales_Table[[#This Row],[Quantity]]</f>
        <v>280000</v>
      </c>
      <c r="P24" s="23">
        <f>Sales_Table[[#This Row],[Gross Sales]]*Sales_Table[[#This Row],[Discount %]]</f>
        <v>28000</v>
      </c>
      <c r="Q24" s="23">
        <f>Sales_Table[[#This Row],[Gross Sales]]-Sales_Table[[#This Row],[Discount]]</f>
        <v>252000</v>
      </c>
      <c r="R24" s="23">
        <f>VLOOKUP(Sales_Table[[#This Row],[Product ID]],Products[],5,FALSE)*Sales_Table[[#This Row],[Quantity]]</f>
        <v>216000</v>
      </c>
      <c r="S24" s="23">
        <f>Sales_Table[[#This Row],[Net Sale]]-Sales_Table[[#This Row],[Total Cost]]</f>
        <v>36000</v>
      </c>
      <c r="T24" s="24">
        <f>Sales_Table[[#This Row],[Profit]]/Sales_Table[[#This Row],[Net Sale]]</f>
        <v>0.14285714285714285</v>
      </c>
      <c r="U24" s="23" t="str">
        <f>TEXT(Sales_Table[[#This Row],[Order Date]],"mmmm-YYYY")</f>
        <v>March-2026</v>
      </c>
      <c r="V24" s="23">
        <f>YEAR(Sales_Table[[#This Row],[Month]])</f>
        <v>2026</v>
      </c>
      <c r="W24" s="23" t="str">
        <f>TEXT(Sales_Table[[#This Row],[Order Date]],"DDDD")</f>
        <v>Sunday</v>
      </c>
      <c r="X24" s="23" t="str">
        <f>IF(OR(Sales_Table[[#This Row],[Days ]]=$W$5,Sales_Table[[#This Row],[Days ]]=$W$8),"Weekned","Weekday")</f>
        <v>Weekned</v>
      </c>
      <c r="Y24" s="23" t="str">
        <f>IF(Sales_Table[[#This Row],[Order Status]]="Delivered","Y","N")</f>
        <v>Y</v>
      </c>
      <c r="Z24" s="23" t="str">
        <f>IF(Sales_Table[[#This Row],[Order Status]]="Returned","Yes","N")</f>
        <v>N</v>
      </c>
    </row>
    <row r="25" spans="1:26" ht="15.5" x14ac:dyDescent="0.35">
      <c r="A25" s="20" t="s">
        <v>67</v>
      </c>
      <c r="B25" s="21">
        <v>46093</v>
      </c>
      <c r="C25" s="20" t="s">
        <v>31</v>
      </c>
      <c r="D25" s="20" t="s">
        <v>42</v>
      </c>
      <c r="E25" s="20" t="s">
        <v>21</v>
      </c>
      <c r="F25" s="20" t="s">
        <v>34</v>
      </c>
      <c r="G25" s="20" t="s">
        <v>16</v>
      </c>
      <c r="H25" s="20" t="s">
        <v>17</v>
      </c>
      <c r="I25" s="20">
        <v>18</v>
      </c>
      <c r="J25" s="20">
        <v>8000</v>
      </c>
      <c r="K25" s="22">
        <v>0.05</v>
      </c>
      <c r="L25" s="20" t="str">
        <f>_xlfn.XLOOKUP(Sales_Table[[#This Row],[Product ID]],Products[Product ID],Products[Product Name],"N",0)</f>
        <v>Headset</v>
      </c>
      <c r="M25" s="20" t="str">
        <f>_xlfn.XLOOKUP(Sales_Table[[#This Row],[Employee ID]],Employees[Employee ID],Employees[Employee Name],"N",0)</f>
        <v>Priya Sharma</v>
      </c>
      <c r="N25" s="20" t="str">
        <f>_xlfn.XLOOKUP(Sales_Table[[#This Row],[Customer ID]],Table22[Customer ID],Table22[Customer Name])</f>
        <v>Royal Enterprises</v>
      </c>
      <c r="O25" s="23">
        <f>Sales_Table[[#This Row],[Unit Price]]*Sales_Table[[#This Row],[Quantity]]</f>
        <v>144000</v>
      </c>
      <c r="P25" s="23">
        <f>Sales_Table[[#This Row],[Gross Sales]]*Sales_Table[[#This Row],[Discount %]]</f>
        <v>7200</v>
      </c>
      <c r="Q25" s="23">
        <f>Sales_Table[[#This Row],[Gross Sales]]-Sales_Table[[#This Row],[Discount]]</f>
        <v>136800</v>
      </c>
      <c r="R25" s="23">
        <f>VLOOKUP(Sales_Table[[#This Row],[Product ID]],Products[],5,FALSE)*Sales_Table[[#This Row],[Quantity]]</f>
        <v>93600</v>
      </c>
      <c r="S25" s="23">
        <f>Sales_Table[[#This Row],[Net Sale]]-Sales_Table[[#This Row],[Total Cost]]</f>
        <v>43200</v>
      </c>
      <c r="T25" s="24">
        <f>Sales_Table[[#This Row],[Profit]]/Sales_Table[[#This Row],[Net Sale]]</f>
        <v>0.31578947368421051</v>
      </c>
      <c r="U25" s="23" t="str">
        <f>TEXT(Sales_Table[[#This Row],[Order Date]],"mmmm-YYYY")</f>
        <v>March-2026</v>
      </c>
      <c r="V25" s="23">
        <f>YEAR(Sales_Table[[#This Row],[Month]])</f>
        <v>2026</v>
      </c>
      <c r="W25" s="23" t="str">
        <f>TEXT(Sales_Table[[#This Row],[Order Date]],"DDDD")</f>
        <v>Thursday</v>
      </c>
      <c r="X25" s="23" t="str">
        <f>IF(OR(Sales_Table[[#This Row],[Days ]]=$W$5,Sales_Table[[#This Row],[Days ]]=$W$8),"Weekned","Weekday")</f>
        <v>Weekday</v>
      </c>
      <c r="Y25" s="23" t="str">
        <f>IF(Sales_Table[[#This Row],[Order Status]]="Delivered","Y","N")</f>
        <v>Y</v>
      </c>
      <c r="Z25" s="23" t="str">
        <f>IF(Sales_Table[[#This Row],[Order Status]]="Returned","Yes","N")</f>
        <v>N</v>
      </c>
    </row>
    <row r="26" spans="1:26" ht="15.5" x14ac:dyDescent="0.35">
      <c r="A26" s="20" t="s">
        <v>68</v>
      </c>
      <c r="B26" s="21">
        <v>46096</v>
      </c>
      <c r="C26" s="20" t="s">
        <v>37</v>
      </c>
      <c r="D26" s="20" t="s">
        <v>13</v>
      </c>
      <c r="E26" s="20" t="s">
        <v>27</v>
      </c>
      <c r="F26" s="20" t="s">
        <v>15</v>
      </c>
      <c r="G26" s="20" t="s">
        <v>16</v>
      </c>
      <c r="H26" s="20" t="s">
        <v>23</v>
      </c>
      <c r="I26" s="20">
        <v>7</v>
      </c>
      <c r="J26" s="20">
        <v>50000</v>
      </c>
      <c r="K26" s="22">
        <v>0.15</v>
      </c>
      <c r="L26" s="20" t="str">
        <f>_xlfn.XLOOKUP(Sales_Table[[#This Row],[Product ID]],Products[Product ID],Products[Product Name],"N",0)</f>
        <v>Laptop</v>
      </c>
      <c r="M26" s="20" t="str">
        <f>_xlfn.XLOOKUP(Sales_Table[[#This Row],[Employee ID]],Employees[Employee ID],Employees[Employee Name],"N",0)</f>
        <v>Arjun Reddy</v>
      </c>
      <c r="N26" s="20" t="str">
        <f>_xlfn.XLOOKUP(Sales_Table[[#This Row],[Customer ID]],Table22[Customer ID],Table22[Customer Name])</f>
        <v>TechNova Pvt Ltd</v>
      </c>
      <c r="O26" s="23">
        <f>Sales_Table[[#This Row],[Unit Price]]*Sales_Table[[#This Row],[Quantity]]</f>
        <v>350000</v>
      </c>
      <c r="P26" s="23">
        <f>Sales_Table[[#This Row],[Gross Sales]]*Sales_Table[[#This Row],[Discount %]]</f>
        <v>52500</v>
      </c>
      <c r="Q26" s="23">
        <f>Sales_Table[[#This Row],[Gross Sales]]-Sales_Table[[#This Row],[Discount]]</f>
        <v>297500</v>
      </c>
      <c r="R26" s="23">
        <f>VLOOKUP(Sales_Table[[#This Row],[Product ID]],Products[],5,FALSE)*Sales_Table[[#This Row],[Quantity]]</f>
        <v>273000</v>
      </c>
      <c r="S26" s="23">
        <f>Sales_Table[[#This Row],[Net Sale]]-Sales_Table[[#This Row],[Total Cost]]</f>
        <v>24500</v>
      </c>
      <c r="T26" s="24">
        <f>Sales_Table[[#This Row],[Profit]]/Sales_Table[[#This Row],[Net Sale]]</f>
        <v>8.2352941176470587E-2</v>
      </c>
      <c r="U26" s="23" t="str">
        <f>TEXT(Sales_Table[[#This Row],[Order Date]],"mmmm-YYYY")</f>
        <v>March-2026</v>
      </c>
      <c r="V26" s="23">
        <f>YEAR(Sales_Table[[#This Row],[Month]])</f>
        <v>2026</v>
      </c>
      <c r="W26" s="23" t="str">
        <f>TEXT(Sales_Table[[#This Row],[Order Date]],"DDDD")</f>
        <v>Sunday</v>
      </c>
      <c r="X26" s="23" t="str">
        <f>IF(OR(Sales_Table[[#This Row],[Days ]]=$W$5,Sales_Table[[#This Row],[Days ]]=$W$8),"Weekned","Weekday")</f>
        <v>Weekned</v>
      </c>
      <c r="Y26" s="23" t="str">
        <f>IF(Sales_Table[[#This Row],[Order Status]]="Delivered","Y","N")</f>
        <v>Y</v>
      </c>
      <c r="Z26" s="23" t="str">
        <f>IF(Sales_Table[[#This Row],[Order Status]]="Returned","Yes","N")</f>
        <v>N</v>
      </c>
    </row>
    <row r="27" spans="1:26" ht="15.5" x14ac:dyDescent="0.35">
      <c r="A27" s="20" t="s">
        <v>69</v>
      </c>
      <c r="B27" s="21">
        <v>46099</v>
      </c>
      <c r="C27" s="20" t="s">
        <v>41</v>
      </c>
      <c r="D27" s="20" t="s">
        <v>20</v>
      </c>
      <c r="E27" s="20" t="s">
        <v>33</v>
      </c>
      <c r="F27" s="20" t="s">
        <v>22</v>
      </c>
      <c r="G27" s="20" t="s">
        <v>16</v>
      </c>
      <c r="H27" s="20" t="s">
        <v>29</v>
      </c>
      <c r="I27" s="20">
        <v>14</v>
      </c>
      <c r="J27" s="20">
        <v>25000</v>
      </c>
      <c r="K27" s="22">
        <v>0.12</v>
      </c>
      <c r="L27" s="20" t="str">
        <f>_xlfn.XLOOKUP(Sales_Table[[#This Row],[Product ID]],Products[Product ID],Products[Product Name],"N",0)</f>
        <v>Monitor</v>
      </c>
      <c r="M27" s="20" t="str">
        <f>_xlfn.XLOOKUP(Sales_Table[[#This Row],[Employee ID]],Employees[Employee ID],Employees[Employee Name],"N",0)</f>
        <v>Sneha Patel</v>
      </c>
      <c r="N27" s="20" t="str">
        <f>_xlfn.XLOOKUP(Sales_Table[[#This Row],[Customer ID]],Table22[Customer ID],Table22[Customer Name])</f>
        <v>Metro Computers</v>
      </c>
      <c r="O27" s="23">
        <f>Sales_Table[[#This Row],[Unit Price]]*Sales_Table[[#This Row],[Quantity]]</f>
        <v>350000</v>
      </c>
      <c r="P27" s="23">
        <f>Sales_Table[[#This Row],[Gross Sales]]*Sales_Table[[#This Row],[Discount %]]</f>
        <v>42000</v>
      </c>
      <c r="Q27" s="23">
        <f>Sales_Table[[#This Row],[Gross Sales]]-Sales_Table[[#This Row],[Discount]]</f>
        <v>308000</v>
      </c>
      <c r="R27" s="23">
        <f>VLOOKUP(Sales_Table[[#This Row],[Product ID]],Products[],5,FALSE)*Sales_Table[[#This Row],[Quantity]]</f>
        <v>266000</v>
      </c>
      <c r="S27" s="23">
        <f>Sales_Table[[#This Row],[Net Sale]]-Sales_Table[[#This Row],[Total Cost]]</f>
        <v>42000</v>
      </c>
      <c r="T27" s="24">
        <f>Sales_Table[[#This Row],[Profit]]/Sales_Table[[#This Row],[Net Sale]]</f>
        <v>0.13636363636363635</v>
      </c>
      <c r="U27" s="23" t="str">
        <f>TEXT(Sales_Table[[#This Row],[Order Date]],"mmmm-YYYY")</f>
        <v>March-2026</v>
      </c>
      <c r="V27" s="23">
        <f>YEAR(Sales_Table[[#This Row],[Month]])</f>
        <v>2026</v>
      </c>
      <c r="W27" s="23" t="str">
        <f>TEXT(Sales_Table[[#This Row],[Order Date]],"DDDD")</f>
        <v>Wednesday</v>
      </c>
      <c r="X27" s="23" t="str">
        <f>IF(OR(Sales_Table[[#This Row],[Days ]]=$W$5,Sales_Table[[#This Row],[Days ]]=$W$8),"Weekned","Weekday")</f>
        <v>Weekday</v>
      </c>
      <c r="Y27" s="23" t="str">
        <f>IF(Sales_Table[[#This Row],[Order Status]]="Delivered","Y","N")</f>
        <v>Y</v>
      </c>
      <c r="Z27" s="23" t="str">
        <f>IF(Sales_Table[[#This Row],[Order Status]]="Returned","Yes","N")</f>
        <v>N</v>
      </c>
    </row>
    <row r="28" spans="1:26" ht="15.5" x14ac:dyDescent="0.35">
      <c r="A28" s="20" t="s">
        <v>70</v>
      </c>
      <c r="B28" s="21">
        <v>46101</v>
      </c>
      <c r="C28" s="20" t="s">
        <v>45</v>
      </c>
      <c r="D28" s="20" t="s">
        <v>26</v>
      </c>
      <c r="E28" s="20" t="s">
        <v>39</v>
      </c>
      <c r="F28" s="20" t="s">
        <v>28</v>
      </c>
      <c r="G28" s="20" t="s">
        <v>16</v>
      </c>
      <c r="H28" s="20" t="s">
        <v>17</v>
      </c>
      <c r="I28" s="20">
        <v>22</v>
      </c>
      <c r="J28" s="20">
        <v>5000</v>
      </c>
      <c r="K28" s="22">
        <v>0.08</v>
      </c>
      <c r="L28" s="20" t="str">
        <f>_xlfn.XLOOKUP(Sales_Table[[#This Row],[Product ID]],Products[Product ID],Products[Product Name],"N",0)</f>
        <v>Keyboard</v>
      </c>
      <c r="M28" s="20" t="str">
        <f>_xlfn.XLOOKUP(Sales_Table[[#This Row],[Employee ID]],Employees[Employee ID],Employees[Employee Name],"N",0)</f>
        <v>Kiran Rao</v>
      </c>
      <c r="N28" s="20" t="str">
        <f>_xlfn.XLOOKUP(Sales_Table[[#This Row],[Customer ID]],Table22[Customer ID],Table22[Customer Name])</f>
        <v>Future Systems</v>
      </c>
      <c r="O28" s="23">
        <f>Sales_Table[[#This Row],[Unit Price]]*Sales_Table[[#This Row],[Quantity]]</f>
        <v>110000</v>
      </c>
      <c r="P28" s="23">
        <f>Sales_Table[[#This Row],[Gross Sales]]*Sales_Table[[#This Row],[Discount %]]</f>
        <v>8800</v>
      </c>
      <c r="Q28" s="23">
        <f>Sales_Table[[#This Row],[Gross Sales]]-Sales_Table[[#This Row],[Discount]]</f>
        <v>101200</v>
      </c>
      <c r="R28" s="23">
        <f>VLOOKUP(Sales_Table[[#This Row],[Product ID]],Products[],5,FALSE)*Sales_Table[[#This Row],[Quantity]]</f>
        <v>77000</v>
      </c>
      <c r="S28" s="23">
        <f>Sales_Table[[#This Row],[Net Sale]]-Sales_Table[[#This Row],[Total Cost]]</f>
        <v>24200</v>
      </c>
      <c r="T28" s="24">
        <f>Sales_Table[[#This Row],[Profit]]/Sales_Table[[#This Row],[Net Sale]]</f>
        <v>0.2391304347826087</v>
      </c>
      <c r="U28" s="23" t="str">
        <f>TEXT(Sales_Table[[#This Row],[Order Date]],"mmmm-YYYY")</f>
        <v>March-2026</v>
      </c>
      <c r="V28" s="23">
        <f>YEAR(Sales_Table[[#This Row],[Month]])</f>
        <v>2026</v>
      </c>
      <c r="W28" s="23" t="str">
        <f>TEXT(Sales_Table[[#This Row],[Order Date]],"DDDD")</f>
        <v>Friday</v>
      </c>
      <c r="X28" s="23" t="str">
        <f>IF(OR(Sales_Table[[#This Row],[Days ]]=$W$5,Sales_Table[[#This Row],[Days ]]=$W$8),"Weekned","Weekday")</f>
        <v>Weekday</v>
      </c>
      <c r="Y28" s="23" t="str">
        <f>IF(Sales_Table[[#This Row],[Order Status]]="Delivered","Y","N")</f>
        <v>Y</v>
      </c>
      <c r="Z28" s="23" t="str">
        <f>IF(Sales_Table[[#This Row],[Order Status]]="Returned","Yes","N")</f>
        <v>N</v>
      </c>
    </row>
    <row r="29" spans="1:26" ht="15.5" x14ac:dyDescent="0.35">
      <c r="A29" s="20" t="s">
        <v>71</v>
      </c>
      <c r="B29" s="21">
        <v>46106</v>
      </c>
      <c r="C29" s="20" t="s">
        <v>47</v>
      </c>
      <c r="D29" s="20" t="s">
        <v>32</v>
      </c>
      <c r="E29" s="20" t="s">
        <v>43</v>
      </c>
      <c r="F29" s="20" t="s">
        <v>34</v>
      </c>
      <c r="G29" s="20" t="s">
        <v>16</v>
      </c>
      <c r="H29" s="20" t="s">
        <v>35</v>
      </c>
      <c r="I29" s="20">
        <v>40</v>
      </c>
      <c r="J29" s="20">
        <v>2000</v>
      </c>
      <c r="K29" s="22">
        <v>0</v>
      </c>
      <c r="L29" s="20" t="str">
        <f>_xlfn.XLOOKUP(Sales_Table[[#This Row],[Product ID]],Products[Product ID],Products[Product Name],"N",0)</f>
        <v>Mouse</v>
      </c>
      <c r="M29" s="20" t="str">
        <f>_xlfn.XLOOKUP(Sales_Table[[#This Row],[Employee ID]],Employees[Employee ID],Employees[Employee Name],"N",0)</f>
        <v>Anjali Singh</v>
      </c>
      <c r="N29" s="20" t="str">
        <f>_xlfn.XLOOKUP(Sales_Table[[#This Row],[Customer ID]],Table22[Customer ID],Table22[Customer Name])</f>
        <v>Prime Digital</v>
      </c>
      <c r="O29" s="23">
        <f>Sales_Table[[#This Row],[Unit Price]]*Sales_Table[[#This Row],[Quantity]]</f>
        <v>80000</v>
      </c>
      <c r="P29" s="23">
        <f>Sales_Table[[#This Row],[Gross Sales]]*Sales_Table[[#This Row],[Discount %]]</f>
        <v>0</v>
      </c>
      <c r="Q29" s="23">
        <f>Sales_Table[[#This Row],[Gross Sales]]-Sales_Table[[#This Row],[Discount]]</f>
        <v>80000</v>
      </c>
      <c r="R29" s="23">
        <f>VLOOKUP(Sales_Table[[#This Row],[Product ID]],Products[],5,FALSE)*Sales_Table[[#This Row],[Quantity]]</f>
        <v>48000</v>
      </c>
      <c r="S29" s="23">
        <f>Sales_Table[[#This Row],[Net Sale]]-Sales_Table[[#This Row],[Total Cost]]</f>
        <v>32000</v>
      </c>
      <c r="T29" s="24">
        <f>Sales_Table[[#This Row],[Profit]]/Sales_Table[[#This Row],[Net Sale]]</f>
        <v>0.4</v>
      </c>
      <c r="U29" s="23" t="str">
        <f>TEXT(Sales_Table[[#This Row],[Order Date]],"mmmm-YYYY")</f>
        <v>March-2026</v>
      </c>
      <c r="V29" s="23">
        <f>YEAR(Sales_Table[[#This Row],[Month]])</f>
        <v>2026</v>
      </c>
      <c r="W29" s="23" t="str">
        <f>TEXT(Sales_Table[[#This Row],[Order Date]],"DDDD")</f>
        <v>Wednesday</v>
      </c>
      <c r="X29" s="23" t="str">
        <f>IF(OR(Sales_Table[[#This Row],[Days ]]=$W$5,Sales_Table[[#This Row],[Days ]]=$W$8),"Weekned","Weekday")</f>
        <v>Weekday</v>
      </c>
      <c r="Y29" s="23" t="str">
        <f>IF(Sales_Table[[#This Row],[Order Status]]="Delivered","Y","N")</f>
        <v>Y</v>
      </c>
      <c r="Z29" s="23" t="str">
        <f>IF(Sales_Table[[#This Row],[Order Status]]="Returned","Yes","N")</f>
        <v>N</v>
      </c>
    </row>
    <row r="30" spans="1:26" ht="15.5" x14ac:dyDescent="0.35">
      <c r="A30" s="20" t="s">
        <v>72</v>
      </c>
      <c r="B30" s="21">
        <v>46114</v>
      </c>
      <c r="C30" s="20" t="s">
        <v>49</v>
      </c>
      <c r="D30" s="20" t="s">
        <v>38</v>
      </c>
      <c r="E30" s="20" t="s">
        <v>14</v>
      </c>
      <c r="F30" s="20" t="s">
        <v>15</v>
      </c>
      <c r="G30" s="20" t="s">
        <v>16</v>
      </c>
      <c r="H30" s="20" t="s">
        <v>17</v>
      </c>
      <c r="I30" s="20">
        <v>9</v>
      </c>
      <c r="J30" s="20">
        <v>35000</v>
      </c>
      <c r="K30" s="22">
        <v>0.1</v>
      </c>
      <c r="L30" s="20" t="str">
        <f>_xlfn.XLOOKUP(Sales_Table[[#This Row],[Product ID]],Products[Product ID],Products[Product Name],"N",0)</f>
        <v>Printer</v>
      </c>
      <c r="M30" s="20" t="str">
        <f>_xlfn.XLOOKUP(Sales_Table[[#This Row],[Employee ID]],Employees[Employee ID],Employees[Employee Name],"N",0)</f>
        <v>Rahul Kumar</v>
      </c>
      <c r="N30" s="20" t="str">
        <f>_xlfn.XLOOKUP(Sales_Table[[#This Row],[Customer ID]],Table22[Customer ID],Table22[Customer Name])</f>
        <v>Smart World</v>
      </c>
      <c r="O30" s="23">
        <f>Sales_Table[[#This Row],[Unit Price]]*Sales_Table[[#This Row],[Quantity]]</f>
        <v>315000</v>
      </c>
      <c r="P30" s="23">
        <f>Sales_Table[[#This Row],[Gross Sales]]*Sales_Table[[#This Row],[Discount %]]</f>
        <v>31500</v>
      </c>
      <c r="Q30" s="23">
        <f>Sales_Table[[#This Row],[Gross Sales]]-Sales_Table[[#This Row],[Discount]]</f>
        <v>283500</v>
      </c>
      <c r="R30" s="23">
        <f>VLOOKUP(Sales_Table[[#This Row],[Product ID]],Products[],5,FALSE)*Sales_Table[[#This Row],[Quantity]]</f>
        <v>243000</v>
      </c>
      <c r="S30" s="23">
        <f>Sales_Table[[#This Row],[Net Sale]]-Sales_Table[[#This Row],[Total Cost]]</f>
        <v>40500</v>
      </c>
      <c r="T30" s="24">
        <f>Sales_Table[[#This Row],[Profit]]/Sales_Table[[#This Row],[Net Sale]]</f>
        <v>0.14285714285714285</v>
      </c>
      <c r="U30" s="23" t="str">
        <f>TEXT(Sales_Table[[#This Row],[Order Date]],"mmmm-YYYY")</f>
        <v>April-2026</v>
      </c>
      <c r="V30" s="23">
        <f>YEAR(Sales_Table[[#This Row],[Month]])</f>
        <v>2026</v>
      </c>
      <c r="W30" s="23" t="str">
        <f>TEXT(Sales_Table[[#This Row],[Order Date]],"DDDD")</f>
        <v>Thursday</v>
      </c>
      <c r="X30" s="23" t="str">
        <f>IF(OR(Sales_Table[[#This Row],[Days ]]=$W$5,Sales_Table[[#This Row],[Days ]]=$W$8),"Weekned","Weekday")</f>
        <v>Weekday</v>
      </c>
      <c r="Y30" s="23" t="str">
        <f>IF(Sales_Table[[#This Row],[Order Status]]="Delivered","Y","N")</f>
        <v>Y</v>
      </c>
      <c r="Z30" s="23" t="str">
        <f>IF(Sales_Table[[#This Row],[Order Status]]="Returned","Yes","N")</f>
        <v>N</v>
      </c>
    </row>
    <row r="31" spans="1:26" ht="15.5" x14ac:dyDescent="0.35">
      <c r="A31" s="20" t="s">
        <v>73</v>
      </c>
      <c r="B31" s="21">
        <v>46117</v>
      </c>
      <c r="C31" s="20" t="s">
        <v>51</v>
      </c>
      <c r="D31" s="20" t="s">
        <v>42</v>
      </c>
      <c r="E31" s="20" t="s">
        <v>21</v>
      </c>
      <c r="F31" s="20" t="s">
        <v>22</v>
      </c>
      <c r="G31" s="20" t="s">
        <v>16</v>
      </c>
      <c r="H31" s="20" t="s">
        <v>23</v>
      </c>
      <c r="I31" s="20">
        <v>16</v>
      </c>
      <c r="J31" s="20">
        <v>8000</v>
      </c>
      <c r="K31" s="22">
        <v>0.05</v>
      </c>
      <c r="L31" s="20" t="str">
        <f>_xlfn.XLOOKUP(Sales_Table[[#This Row],[Product ID]],Products[Product ID],Products[Product Name],"N",0)</f>
        <v>Headset</v>
      </c>
      <c r="M31" s="20" t="str">
        <f>_xlfn.XLOOKUP(Sales_Table[[#This Row],[Employee ID]],Employees[Employee ID],Employees[Employee Name],"N",0)</f>
        <v>Priya Sharma</v>
      </c>
      <c r="N31" s="20" t="str">
        <f>_xlfn.XLOOKUP(Sales_Table[[#This Row],[Customer ID]],Table22[Customer ID],Table22[Customer Name])</f>
        <v>NextGen Solutions</v>
      </c>
      <c r="O31" s="23">
        <f>Sales_Table[[#This Row],[Unit Price]]*Sales_Table[[#This Row],[Quantity]]</f>
        <v>128000</v>
      </c>
      <c r="P31" s="23">
        <f>Sales_Table[[#This Row],[Gross Sales]]*Sales_Table[[#This Row],[Discount %]]</f>
        <v>6400</v>
      </c>
      <c r="Q31" s="23">
        <f>Sales_Table[[#This Row],[Gross Sales]]-Sales_Table[[#This Row],[Discount]]</f>
        <v>121600</v>
      </c>
      <c r="R31" s="23">
        <f>VLOOKUP(Sales_Table[[#This Row],[Product ID]],Products[],5,FALSE)*Sales_Table[[#This Row],[Quantity]]</f>
        <v>83200</v>
      </c>
      <c r="S31" s="23">
        <f>Sales_Table[[#This Row],[Net Sale]]-Sales_Table[[#This Row],[Total Cost]]</f>
        <v>38400</v>
      </c>
      <c r="T31" s="24">
        <f>Sales_Table[[#This Row],[Profit]]/Sales_Table[[#This Row],[Net Sale]]</f>
        <v>0.31578947368421051</v>
      </c>
      <c r="U31" s="23" t="str">
        <f>TEXT(Sales_Table[[#This Row],[Order Date]],"mmmm-YYYY")</f>
        <v>April-2026</v>
      </c>
      <c r="V31" s="23">
        <f>YEAR(Sales_Table[[#This Row],[Month]])</f>
        <v>2026</v>
      </c>
      <c r="W31" s="23" t="str">
        <f>TEXT(Sales_Table[[#This Row],[Order Date]],"DDDD")</f>
        <v>Sunday</v>
      </c>
      <c r="X31" s="23" t="str">
        <f>IF(OR(Sales_Table[[#This Row],[Days ]]=$W$5,Sales_Table[[#This Row],[Days ]]=$W$8),"Weekned","Weekday")</f>
        <v>Weekned</v>
      </c>
      <c r="Y31" s="23" t="str">
        <f>IF(Sales_Table[[#This Row],[Order Status]]="Delivered","Y","N")</f>
        <v>Y</v>
      </c>
      <c r="Z31" s="23" t="str">
        <f>IF(Sales_Table[[#This Row],[Order Status]]="Returned","Yes","N")</f>
        <v>N</v>
      </c>
    </row>
    <row r="32" spans="1:26" ht="15.5" x14ac:dyDescent="0.35">
      <c r="A32" s="20" t="s">
        <v>74</v>
      </c>
      <c r="B32" s="21">
        <v>46120</v>
      </c>
      <c r="C32" s="20" t="s">
        <v>12</v>
      </c>
      <c r="D32" s="20" t="s">
        <v>13</v>
      </c>
      <c r="E32" s="20" t="s">
        <v>27</v>
      </c>
      <c r="F32" s="20" t="s">
        <v>28</v>
      </c>
      <c r="G32" s="20" t="s">
        <v>16</v>
      </c>
      <c r="H32" s="20" t="s">
        <v>29</v>
      </c>
      <c r="I32" s="20">
        <v>5</v>
      </c>
      <c r="J32" s="20">
        <v>50000</v>
      </c>
      <c r="K32" s="22">
        <v>0.08</v>
      </c>
      <c r="L32" s="20" t="str">
        <f>_xlfn.XLOOKUP(Sales_Table[[#This Row],[Product ID]],Products[Product ID],Products[Product Name],"N",0)</f>
        <v>Laptop</v>
      </c>
      <c r="M32" s="20" t="str">
        <f>_xlfn.XLOOKUP(Sales_Table[[#This Row],[Employee ID]],Employees[Employee ID],Employees[Employee Name],"N",0)</f>
        <v>Arjun Reddy</v>
      </c>
      <c r="N32" s="20" t="str">
        <f>_xlfn.XLOOKUP(Sales_Table[[#This Row],[Customer ID]],Table22[Customer ID],Table22[Customer Name])</f>
        <v>ABC Technologies</v>
      </c>
      <c r="O32" s="23">
        <f>Sales_Table[[#This Row],[Unit Price]]*Sales_Table[[#This Row],[Quantity]]</f>
        <v>250000</v>
      </c>
      <c r="P32" s="23">
        <f>Sales_Table[[#This Row],[Gross Sales]]*Sales_Table[[#This Row],[Discount %]]</f>
        <v>20000</v>
      </c>
      <c r="Q32" s="23">
        <f>Sales_Table[[#This Row],[Gross Sales]]-Sales_Table[[#This Row],[Discount]]</f>
        <v>230000</v>
      </c>
      <c r="R32" s="23">
        <f>VLOOKUP(Sales_Table[[#This Row],[Product ID]],Products[],5,FALSE)*Sales_Table[[#This Row],[Quantity]]</f>
        <v>195000</v>
      </c>
      <c r="S32" s="23">
        <f>Sales_Table[[#This Row],[Net Sale]]-Sales_Table[[#This Row],[Total Cost]]</f>
        <v>35000</v>
      </c>
      <c r="T32" s="24">
        <f>Sales_Table[[#This Row],[Profit]]/Sales_Table[[#This Row],[Net Sale]]</f>
        <v>0.15217391304347827</v>
      </c>
      <c r="U32" s="23" t="str">
        <f>TEXT(Sales_Table[[#This Row],[Order Date]],"mmmm-YYYY")</f>
        <v>April-2026</v>
      </c>
      <c r="V32" s="23">
        <f>YEAR(Sales_Table[[#This Row],[Month]])</f>
        <v>2026</v>
      </c>
      <c r="W32" s="23" t="str">
        <f>TEXT(Sales_Table[[#This Row],[Order Date]],"DDDD")</f>
        <v>Wednesday</v>
      </c>
      <c r="X32" s="23" t="str">
        <f>IF(OR(Sales_Table[[#This Row],[Days ]]=$W$5,Sales_Table[[#This Row],[Days ]]=$W$8),"Weekned","Weekday")</f>
        <v>Weekday</v>
      </c>
      <c r="Y32" s="23" t="str">
        <f>IF(Sales_Table[[#This Row],[Order Status]]="Delivered","Y","N")</f>
        <v>Y</v>
      </c>
      <c r="Z32" s="23" t="str">
        <f>IF(Sales_Table[[#This Row],[Order Status]]="Returned","Yes","N")</f>
        <v>N</v>
      </c>
    </row>
    <row r="33" spans="1:26" ht="15.5" x14ac:dyDescent="0.35">
      <c r="A33" s="20" t="s">
        <v>75</v>
      </c>
      <c r="B33" s="21">
        <v>46124</v>
      </c>
      <c r="C33" s="20" t="s">
        <v>19</v>
      </c>
      <c r="D33" s="20" t="s">
        <v>20</v>
      </c>
      <c r="E33" s="20" t="s">
        <v>33</v>
      </c>
      <c r="F33" s="20" t="s">
        <v>34</v>
      </c>
      <c r="G33" s="20" t="s">
        <v>16</v>
      </c>
      <c r="H33" s="20" t="s">
        <v>17</v>
      </c>
      <c r="I33" s="20">
        <v>11</v>
      </c>
      <c r="J33" s="20">
        <v>25000</v>
      </c>
      <c r="K33" s="22">
        <v>0.1</v>
      </c>
      <c r="L33" s="20" t="str">
        <f>_xlfn.XLOOKUP(Sales_Table[[#This Row],[Product ID]],Products[Product ID],Products[Product Name],"N",0)</f>
        <v>Monitor</v>
      </c>
      <c r="M33" s="20" t="str">
        <f>_xlfn.XLOOKUP(Sales_Table[[#This Row],[Employee ID]],Employees[Employee ID],Employees[Employee Name],"N",0)</f>
        <v>Sneha Patel</v>
      </c>
      <c r="N33" s="20" t="str">
        <f>_xlfn.XLOOKUP(Sales_Table[[#This Row],[Customer ID]],Table22[Customer ID],Table22[Customer Name])</f>
        <v>Sri Lakshmi Traders</v>
      </c>
      <c r="O33" s="23">
        <f>Sales_Table[[#This Row],[Unit Price]]*Sales_Table[[#This Row],[Quantity]]</f>
        <v>275000</v>
      </c>
      <c r="P33" s="23">
        <f>Sales_Table[[#This Row],[Gross Sales]]*Sales_Table[[#This Row],[Discount %]]</f>
        <v>27500</v>
      </c>
      <c r="Q33" s="23">
        <f>Sales_Table[[#This Row],[Gross Sales]]-Sales_Table[[#This Row],[Discount]]</f>
        <v>247500</v>
      </c>
      <c r="R33" s="23">
        <f>VLOOKUP(Sales_Table[[#This Row],[Product ID]],Products[],5,FALSE)*Sales_Table[[#This Row],[Quantity]]</f>
        <v>209000</v>
      </c>
      <c r="S33" s="23">
        <f>Sales_Table[[#This Row],[Net Sale]]-Sales_Table[[#This Row],[Total Cost]]</f>
        <v>38500</v>
      </c>
      <c r="T33" s="24">
        <f>Sales_Table[[#This Row],[Profit]]/Sales_Table[[#This Row],[Net Sale]]</f>
        <v>0.15555555555555556</v>
      </c>
      <c r="U33" s="23" t="str">
        <f>TEXT(Sales_Table[[#This Row],[Order Date]],"mmmm-YYYY")</f>
        <v>April-2026</v>
      </c>
      <c r="V33" s="23">
        <f>YEAR(Sales_Table[[#This Row],[Month]])</f>
        <v>2026</v>
      </c>
      <c r="W33" s="23" t="str">
        <f>TEXT(Sales_Table[[#This Row],[Order Date]],"DDDD")</f>
        <v>Sunday</v>
      </c>
      <c r="X33" s="23" t="str">
        <f>IF(OR(Sales_Table[[#This Row],[Days ]]=$W$5,Sales_Table[[#This Row],[Days ]]=$W$8),"Weekned","Weekday")</f>
        <v>Weekned</v>
      </c>
      <c r="Y33" s="23" t="str">
        <f>IF(Sales_Table[[#This Row],[Order Status]]="Delivered","Y","N")</f>
        <v>Y</v>
      </c>
      <c r="Z33" s="23" t="str">
        <f>IF(Sales_Table[[#This Row],[Order Status]]="Returned","Yes","N")</f>
        <v>N</v>
      </c>
    </row>
    <row r="34" spans="1:26" ht="15.5" x14ac:dyDescent="0.35">
      <c r="A34" s="20" t="s">
        <v>76</v>
      </c>
      <c r="B34" s="21">
        <v>46127</v>
      </c>
      <c r="C34" s="20" t="s">
        <v>25</v>
      </c>
      <c r="D34" s="20" t="s">
        <v>26</v>
      </c>
      <c r="E34" s="20" t="s">
        <v>39</v>
      </c>
      <c r="F34" s="20" t="s">
        <v>15</v>
      </c>
      <c r="G34" s="20" t="s">
        <v>16</v>
      </c>
      <c r="H34" s="20" t="s">
        <v>23</v>
      </c>
      <c r="I34" s="20">
        <v>28</v>
      </c>
      <c r="J34" s="20">
        <v>5000</v>
      </c>
      <c r="K34" s="22">
        <v>0.05</v>
      </c>
      <c r="L34" s="20" t="str">
        <f>_xlfn.XLOOKUP(Sales_Table[[#This Row],[Product ID]],Products[Product ID],Products[Product Name],"N",0)</f>
        <v>Keyboard</v>
      </c>
      <c r="M34" s="20" t="str">
        <f>_xlfn.XLOOKUP(Sales_Table[[#This Row],[Employee ID]],Employees[Employee ID],Employees[Employee Name],"N",0)</f>
        <v>Kiran Rao</v>
      </c>
      <c r="N34" s="20" t="str">
        <f>_xlfn.XLOOKUP(Sales_Table[[#This Row],[Customer ID]],Table22[Customer ID],Table22[Customer Name])</f>
        <v>Vertex Solutions</v>
      </c>
      <c r="O34" s="23">
        <f>Sales_Table[[#This Row],[Unit Price]]*Sales_Table[[#This Row],[Quantity]]</f>
        <v>140000</v>
      </c>
      <c r="P34" s="23">
        <f>Sales_Table[[#This Row],[Gross Sales]]*Sales_Table[[#This Row],[Discount %]]</f>
        <v>7000</v>
      </c>
      <c r="Q34" s="23">
        <f>Sales_Table[[#This Row],[Gross Sales]]-Sales_Table[[#This Row],[Discount]]</f>
        <v>133000</v>
      </c>
      <c r="R34" s="23">
        <f>VLOOKUP(Sales_Table[[#This Row],[Product ID]],Products[],5,FALSE)*Sales_Table[[#This Row],[Quantity]]</f>
        <v>98000</v>
      </c>
      <c r="S34" s="23">
        <f>Sales_Table[[#This Row],[Net Sale]]-Sales_Table[[#This Row],[Total Cost]]</f>
        <v>35000</v>
      </c>
      <c r="T34" s="24">
        <f>Sales_Table[[#This Row],[Profit]]/Sales_Table[[#This Row],[Net Sale]]</f>
        <v>0.26315789473684209</v>
      </c>
      <c r="U34" s="23" t="str">
        <f>TEXT(Sales_Table[[#This Row],[Order Date]],"mmmm-YYYY")</f>
        <v>April-2026</v>
      </c>
      <c r="V34" s="23">
        <f>YEAR(Sales_Table[[#This Row],[Month]])</f>
        <v>2026</v>
      </c>
      <c r="W34" s="23" t="str">
        <f>TEXT(Sales_Table[[#This Row],[Order Date]],"DDDD")</f>
        <v>Wednesday</v>
      </c>
      <c r="X34" s="23" t="str">
        <f>IF(OR(Sales_Table[[#This Row],[Days ]]=$W$5,Sales_Table[[#This Row],[Days ]]=$W$8),"Weekned","Weekday")</f>
        <v>Weekday</v>
      </c>
      <c r="Y34" s="23" t="str">
        <f>IF(Sales_Table[[#This Row],[Order Status]]="Delivered","Y","N")</f>
        <v>Y</v>
      </c>
      <c r="Z34" s="23" t="str">
        <f>IF(Sales_Table[[#This Row],[Order Status]]="Returned","Yes","N")</f>
        <v>N</v>
      </c>
    </row>
    <row r="35" spans="1:26" ht="15.5" x14ac:dyDescent="0.35">
      <c r="A35" s="20" t="s">
        <v>77</v>
      </c>
      <c r="B35" s="21">
        <v>46130</v>
      </c>
      <c r="C35" s="20" t="s">
        <v>31</v>
      </c>
      <c r="D35" s="20" t="s">
        <v>32</v>
      </c>
      <c r="E35" s="20" t="s">
        <v>43</v>
      </c>
      <c r="F35" s="20" t="s">
        <v>22</v>
      </c>
      <c r="G35" s="20" t="s">
        <v>16</v>
      </c>
      <c r="H35" s="20" t="s">
        <v>35</v>
      </c>
      <c r="I35" s="20">
        <v>32</v>
      </c>
      <c r="J35" s="20">
        <v>2000</v>
      </c>
      <c r="K35" s="22">
        <v>0</v>
      </c>
      <c r="L35" s="20" t="str">
        <f>_xlfn.XLOOKUP(Sales_Table[[#This Row],[Product ID]],Products[Product ID],Products[Product Name],"N",0)</f>
        <v>Mouse</v>
      </c>
      <c r="M35" s="20" t="str">
        <f>_xlfn.XLOOKUP(Sales_Table[[#This Row],[Employee ID]],Employees[Employee ID],Employees[Employee Name],"N",0)</f>
        <v>Anjali Singh</v>
      </c>
      <c r="N35" s="20" t="str">
        <f>_xlfn.XLOOKUP(Sales_Table[[#This Row],[Customer ID]],Table22[Customer ID],Table22[Customer Name])</f>
        <v>Royal Enterprises</v>
      </c>
      <c r="O35" s="23">
        <f>Sales_Table[[#This Row],[Unit Price]]*Sales_Table[[#This Row],[Quantity]]</f>
        <v>64000</v>
      </c>
      <c r="P35" s="23">
        <f>Sales_Table[[#This Row],[Gross Sales]]*Sales_Table[[#This Row],[Discount %]]</f>
        <v>0</v>
      </c>
      <c r="Q35" s="23">
        <f>Sales_Table[[#This Row],[Gross Sales]]-Sales_Table[[#This Row],[Discount]]</f>
        <v>64000</v>
      </c>
      <c r="R35" s="23">
        <f>VLOOKUP(Sales_Table[[#This Row],[Product ID]],Products[],5,FALSE)*Sales_Table[[#This Row],[Quantity]]</f>
        <v>38400</v>
      </c>
      <c r="S35" s="23">
        <f>Sales_Table[[#This Row],[Net Sale]]-Sales_Table[[#This Row],[Total Cost]]</f>
        <v>25600</v>
      </c>
      <c r="T35" s="24">
        <f>Sales_Table[[#This Row],[Profit]]/Sales_Table[[#This Row],[Net Sale]]</f>
        <v>0.4</v>
      </c>
      <c r="U35" s="23" t="str">
        <f>TEXT(Sales_Table[[#This Row],[Order Date]],"mmmm-YYYY")</f>
        <v>April-2026</v>
      </c>
      <c r="V35" s="23">
        <f>YEAR(Sales_Table[[#This Row],[Month]])</f>
        <v>2026</v>
      </c>
      <c r="W35" s="23" t="str">
        <f>TEXT(Sales_Table[[#This Row],[Order Date]],"DDDD")</f>
        <v>Saturday</v>
      </c>
      <c r="X35" s="23" t="str">
        <f>IF(OR(Sales_Table[[#This Row],[Days ]]=$W$5,Sales_Table[[#This Row],[Days ]]=$W$8),"Weekned","Weekday")</f>
        <v>Weekned</v>
      </c>
      <c r="Y35" s="23" t="str">
        <f>IF(Sales_Table[[#This Row],[Order Status]]="Delivered","Y","N")</f>
        <v>Y</v>
      </c>
      <c r="Z35" s="23" t="str">
        <f>IF(Sales_Table[[#This Row],[Order Status]]="Returned","Yes","N")</f>
        <v>N</v>
      </c>
    </row>
    <row r="36" spans="1:26" ht="15.5" x14ac:dyDescent="0.35">
      <c r="A36" s="20" t="s">
        <v>78</v>
      </c>
      <c r="B36" s="21">
        <v>46134</v>
      </c>
      <c r="C36" s="20" t="s">
        <v>37</v>
      </c>
      <c r="D36" s="20" t="s">
        <v>38</v>
      </c>
      <c r="E36" s="20" t="s">
        <v>14</v>
      </c>
      <c r="F36" s="20" t="s">
        <v>28</v>
      </c>
      <c r="G36" s="20" t="s">
        <v>16</v>
      </c>
      <c r="H36" s="20" t="s">
        <v>29</v>
      </c>
      <c r="I36" s="20">
        <v>6</v>
      </c>
      <c r="J36" s="20">
        <v>35000</v>
      </c>
      <c r="K36" s="22">
        <v>0.12</v>
      </c>
      <c r="L36" s="20" t="str">
        <f>_xlfn.XLOOKUP(Sales_Table[[#This Row],[Product ID]],Products[Product ID],Products[Product Name],"N",0)</f>
        <v>Printer</v>
      </c>
      <c r="M36" s="20" t="str">
        <f>_xlfn.XLOOKUP(Sales_Table[[#This Row],[Employee ID]],Employees[Employee ID],Employees[Employee Name],"N",0)</f>
        <v>Rahul Kumar</v>
      </c>
      <c r="N36" s="20" t="str">
        <f>_xlfn.XLOOKUP(Sales_Table[[#This Row],[Customer ID]],Table22[Customer ID],Table22[Customer Name])</f>
        <v>TechNova Pvt Ltd</v>
      </c>
      <c r="O36" s="23">
        <f>Sales_Table[[#This Row],[Unit Price]]*Sales_Table[[#This Row],[Quantity]]</f>
        <v>210000</v>
      </c>
      <c r="P36" s="23">
        <f>Sales_Table[[#This Row],[Gross Sales]]*Sales_Table[[#This Row],[Discount %]]</f>
        <v>25200</v>
      </c>
      <c r="Q36" s="23">
        <f>Sales_Table[[#This Row],[Gross Sales]]-Sales_Table[[#This Row],[Discount]]</f>
        <v>184800</v>
      </c>
      <c r="R36" s="23">
        <f>VLOOKUP(Sales_Table[[#This Row],[Product ID]],Products[],5,FALSE)*Sales_Table[[#This Row],[Quantity]]</f>
        <v>162000</v>
      </c>
      <c r="S36" s="23">
        <f>Sales_Table[[#This Row],[Net Sale]]-Sales_Table[[#This Row],[Total Cost]]</f>
        <v>22800</v>
      </c>
      <c r="T36" s="24">
        <f>Sales_Table[[#This Row],[Profit]]/Sales_Table[[#This Row],[Net Sale]]</f>
        <v>0.12337662337662338</v>
      </c>
      <c r="U36" s="23" t="str">
        <f>TEXT(Sales_Table[[#This Row],[Order Date]],"mmmm-YYYY")</f>
        <v>April-2026</v>
      </c>
      <c r="V36" s="23">
        <f>YEAR(Sales_Table[[#This Row],[Month]])</f>
        <v>2026</v>
      </c>
      <c r="W36" s="23" t="str">
        <f>TEXT(Sales_Table[[#This Row],[Order Date]],"DDDD")</f>
        <v>Wednesday</v>
      </c>
      <c r="X36" s="23" t="str">
        <f>IF(OR(Sales_Table[[#This Row],[Days ]]=$W$5,Sales_Table[[#This Row],[Days ]]=$W$8),"Weekned","Weekday")</f>
        <v>Weekday</v>
      </c>
      <c r="Y36" s="23" t="str">
        <f>IF(Sales_Table[[#This Row],[Order Status]]="Delivered","Y","N")</f>
        <v>Y</v>
      </c>
      <c r="Z36" s="23" t="str">
        <f>IF(Sales_Table[[#This Row],[Order Status]]="Returned","Yes","N")</f>
        <v>N</v>
      </c>
    </row>
    <row r="37" spans="1:26" ht="15.5" x14ac:dyDescent="0.35">
      <c r="A37" s="20" t="s">
        <v>79</v>
      </c>
      <c r="B37" s="21">
        <v>46137</v>
      </c>
      <c r="C37" s="20" t="s">
        <v>41</v>
      </c>
      <c r="D37" s="20" t="s">
        <v>42</v>
      </c>
      <c r="E37" s="20" t="s">
        <v>21</v>
      </c>
      <c r="F37" s="20" t="s">
        <v>34</v>
      </c>
      <c r="G37" s="20" t="s">
        <v>16</v>
      </c>
      <c r="H37" s="20" t="s">
        <v>17</v>
      </c>
      <c r="I37" s="20">
        <v>14</v>
      </c>
      <c r="J37" s="20">
        <v>8000</v>
      </c>
      <c r="K37" s="22">
        <v>0.08</v>
      </c>
      <c r="L37" s="20" t="str">
        <f>_xlfn.XLOOKUP(Sales_Table[[#This Row],[Product ID]],Products[Product ID],Products[Product Name],"N",0)</f>
        <v>Headset</v>
      </c>
      <c r="M37" s="20" t="str">
        <f>_xlfn.XLOOKUP(Sales_Table[[#This Row],[Employee ID]],Employees[Employee ID],Employees[Employee Name],"N",0)</f>
        <v>Priya Sharma</v>
      </c>
      <c r="N37" s="20" t="str">
        <f>_xlfn.XLOOKUP(Sales_Table[[#This Row],[Customer ID]],Table22[Customer ID],Table22[Customer Name])</f>
        <v>Metro Computers</v>
      </c>
      <c r="O37" s="23">
        <f>Sales_Table[[#This Row],[Unit Price]]*Sales_Table[[#This Row],[Quantity]]</f>
        <v>112000</v>
      </c>
      <c r="P37" s="23">
        <f>Sales_Table[[#This Row],[Gross Sales]]*Sales_Table[[#This Row],[Discount %]]</f>
        <v>8960</v>
      </c>
      <c r="Q37" s="23">
        <f>Sales_Table[[#This Row],[Gross Sales]]-Sales_Table[[#This Row],[Discount]]</f>
        <v>103040</v>
      </c>
      <c r="R37" s="23">
        <f>VLOOKUP(Sales_Table[[#This Row],[Product ID]],Products[],5,FALSE)*Sales_Table[[#This Row],[Quantity]]</f>
        <v>72800</v>
      </c>
      <c r="S37" s="23">
        <f>Sales_Table[[#This Row],[Net Sale]]-Sales_Table[[#This Row],[Total Cost]]</f>
        <v>30240</v>
      </c>
      <c r="T37" s="24">
        <f>Sales_Table[[#This Row],[Profit]]/Sales_Table[[#This Row],[Net Sale]]</f>
        <v>0.29347826086956524</v>
      </c>
      <c r="U37" s="23" t="str">
        <f>TEXT(Sales_Table[[#This Row],[Order Date]],"mmmm-YYYY")</f>
        <v>April-2026</v>
      </c>
      <c r="V37" s="23">
        <f>YEAR(Sales_Table[[#This Row],[Month]])</f>
        <v>2026</v>
      </c>
      <c r="W37" s="23" t="str">
        <f>TEXT(Sales_Table[[#This Row],[Order Date]],"DDDD")</f>
        <v>Saturday</v>
      </c>
      <c r="X37" s="23" t="str">
        <f>IF(OR(Sales_Table[[#This Row],[Days ]]=$W$5,Sales_Table[[#This Row],[Days ]]=$W$8),"Weekned","Weekday")</f>
        <v>Weekned</v>
      </c>
      <c r="Y37" s="23" t="str">
        <f>IF(Sales_Table[[#This Row],[Order Status]]="Delivered","Y","N")</f>
        <v>Y</v>
      </c>
      <c r="Z37" s="23" t="str">
        <f>IF(Sales_Table[[#This Row],[Order Status]]="Returned","Yes","N")</f>
        <v>N</v>
      </c>
    </row>
    <row r="38" spans="1:26" ht="15.5" x14ac:dyDescent="0.35">
      <c r="A38" s="20" t="s">
        <v>80</v>
      </c>
      <c r="B38" s="21">
        <v>46144</v>
      </c>
      <c r="C38" s="20" t="s">
        <v>45</v>
      </c>
      <c r="D38" s="20" t="s">
        <v>13</v>
      </c>
      <c r="E38" s="20" t="s">
        <v>27</v>
      </c>
      <c r="F38" s="20" t="s">
        <v>15</v>
      </c>
      <c r="G38" s="20" t="s">
        <v>16</v>
      </c>
      <c r="H38" s="20" t="s">
        <v>23</v>
      </c>
      <c r="I38" s="20">
        <v>8</v>
      </c>
      <c r="J38" s="20">
        <v>50000</v>
      </c>
      <c r="K38" s="22">
        <v>0.1</v>
      </c>
      <c r="L38" s="20" t="str">
        <f>_xlfn.XLOOKUP(Sales_Table[[#This Row],[Product ID]],Products[Product ID],Products[Product Name],"N",0)</f>
        <v>Laptop</v>
      </c>
      <c r="M38" s="20" t="str">
        <f>_xlfn.XLOOKUP(Sales_Table[[#This Row],[Employee ID]],Employees[Employee ID],Employees[Employee Name],"N",0)</f>
        <v>Arjun Reddy</v>
      </c>
      <c r="N38" s="20" t="str">
        <f>_xlfn.XLOOKUP(Sales_Table[[#This Row],[Customer ID]],Table22[Customer ID],Table22[Customer Name])</f>
        <v>Future Systems</v>
      </c>
      <c r="O38" s="23">
        <f>Sales_Table[[#This Row],[Unit Price]]*Sales_Table[[#This Row],[Quantity]]</f>
        <v>400000</v>
      </c>
      <c r="P38" s="23">
        <f>Sales_Table[[#This Row],[Gross Sales]]*Sales_Table[[#This Row],[Discount %]]</f>
        <v>40000</v>
      </c>
      <c r="Q38" s="23">
        <f>Sales_Table[[#This Row],[Gross Sales]]-Sales_Table[[#This Row],[Discount]]</f>
        <v>360000</v>
      </c>
      <c r="R38" s="23">
        <f>VLOOKUP(Sales_Table[[#This Row],[Product ID]],Products[],5,FALSE)*Sales_Table[[#This Row],[Quantity]]</f>
        <v>312000</v>
      </c>
      <c r="S38" s="23">
        <f>Sales_Table[[#This Row],[Net Sale]]-Sales_Table[[#This Row],[Total Cost]]</f>
        <v>48000</v>
      </c>
      <c r="T38" s="24">
        <f>Sales_Table[[#This Row],[Profit]]/Sales_Table[[#This Row],[Net Sale]]</f>
        <v>0.13333333333333333</v>
      </c>
      <c r="U38" s="23" t="str">
        <f>TEXT(Sales_Table[[#This Row],[Order Date]],"mmmm-YYYY")</f>
        <v>May-2026</v>
      </c>
      <c r="V38" s="23">
        <f>YEAR(Sales_Table[[#This Row],[Month]])</f>
        <v>2026</v>
      </c>
      <c r="W38" s="23" t="str">
        <f>TEXT(Sales_Table[[#This Row],[Order Date]],"DDDD")</f>
        <v>Saturday</v>
      </c>
      <c r="X38" s="23" t="str">
        <f>IF(OR(Sales_Table[[#This Row],[Days ]]=$W$5,Sales_Table[[#This Row],[Days ]]=$W$8),"Weekned","Weekday")</f>
        <v>Weekned</v>
      </c>
      <c r="Y38" s="23" t="str">
        <f>IF(Sales_Table[[#This Row],[Order Status]]="Delivered","Y","N")</f>
        <v>Y</v>
      </c>
      <c r="Z38" s="23" t="str">
        <f>IF(Sales_Table[[#This Row],[Order Status]]="Returned","Yes","N")</f>
        <v>N</v>
      </c>
    </row>
    <row r="39" spans="1:26" ht="15.5" x14ac:dyDescent="0.35">
      <c r="A39" s="20" t="s">
        <v>81</v>
      </c>
      <c r="B39" s="21">
        <v>46147</v>
      </c>
      <c r="C39" s="20" t="s">
        <v>47</v>
      </c>
      <c r="D39" s="20" t="s">
        <v>20</v>
      </c>
      <c r="E39" s="20" t="s">
        <v>33</v>
      </c>
      <c r="F39" s="20" t="s">
        <v>22</v>
      </c>
      <c r="G39" s="20" t="s">
        <v>16</v>
      </c>
      <c r="H39" s="20" t="s">
        <v>29</v>
      </c>
      <c r="I39" s="20">
        <v>15</v>
      </c>
      <c r="J39" s="20">
        <v>25000</v>
      </c>
      <c r="K39" s="22">
        <v>0.15</v>
      </c>
      <c r="L39" s="20" t="str">
        <f>_xlfn.XLOOKUP(Sales_Table[[#This Row],[Product ID]],Products[Product ID],Products[Product Name],"N",0)</f>
        <v>Monitor</v>
      </c>
      <c r="M39" s="20" t="str">
        <f>_xlfn.XLOOKUP(Sales_Table[[#This Row],[Employee ID]],Employees[Employee ID],Employees[Employee Name],"N",0)</f>
        <v>Sneha Patel</v>
      </c>
      <c r="N39" s="20" t="str">
        <f>_xlfn.XLOOKUP(Sales_Table[[#This Row],[Customer ID]],Table22[Customer ID],Table22[Customer Name])</f>
        <v>Prime Digital</v>
      </c>
      <c r="O39" s="23">
        <f>Sales_Table[[#This Row],[Unit Price]]*Sales_Table[[#This Row],[Quantity]]</f>
        <v>375000</v>
      </c>
      <c r="P39" s="23">
        <f>Sales_Table[[#This Row],[Gross Sales]]*Sales_Table[[#This Row],[Discount %]]</f>
        <v>56250</v>
      </c>
      <c r="Q39" s="23">
        <f>Sales_Table[[#This Row],[Gross Sales]]-Sales_Table[[#This Row],[Discount]]</f>
        <v>318750</v>
      </c>
      <c r="R39" s="23">
        <f>VLOOKUP(Sales_Table[[#This Row],[Product ID]],Products[],5,FALSE)*Sales_Table[[#This Row],[Quantity]]</f>
        <v>285000</v>
      </c>
      <c r="S39" s="23">
        <f>Sales_Table[[#This Row],[Net Sale]]-Sales_Table[[#This Row],[Total Cost]]</f>
        <v>33750</v>
      </c>
      <c r="T39" s="24">
        <f>Sales_Table[[#This Row],[Profit]]/Sales_Table[[#This Row],[Net Sale]]</f>
        <v>0.10588235294117647</v>
      </c>
      <c r="U39" s="23" t="str">
        <f>TEXT(Sales_Table[[#This Row],[Order Date]],"mmmm-YYYY")</f>
        <v>May-2026</v>
      </c>
      <c r="V39" s="23">
        <f>YEAR(Sales_Table[[#This Row],[Month]])</f>
        <v>2026</v>
      </c>
      <c r="W39" s="23" t="str">
        <f>TEXT(Sales_Table[[#This Row],[Order Date]],"DDDD")</f>
        <v>Tuesday</v>
      </c>
      <c r="X39" s="23" t="str">
        <f>IF(OR(Sales_Table[[#This Row],[Days ]]=$W$5,Sales_Table[[#This Row],[Days ]]=$W$8),"Weekned","Weekday")</f>
        <v>Weekday</v>
      </c>
      <c r="Y39" s="23" t="str">
        <f>IF(Sales_Table[[#This Row],[Order Status]]="Delivered","Y","N")</f>
        <v>Y</v>
      </c>
      <c r="Z39" s="23" t="str">
        <f>IF(Sales_Table[[#This Row],[Order Status]]="Returned","Yes","N")</f>
        <v>N</v>
      </c>
    </row>
    <row r="40" spans="1:26" ht="15.5" x14ac:dyDescent="0.35">
      <c r="A40" s="20" t="s">
        <v>82</v>
      </c>
      <c r="B40" s="21">
        <v>46150</v>
      </c>
      <c r="C40" s="20" t="s">
        <v>49</v>
      </c>
      <c r="D40" s="20" t="s">
        <v>26</v>
      </c>
      <c r="E40" s="20" t="s">
        <v>39</v>
      </c>
      <c r="F40" s="20" t="s">
        <v>28</v>
      </c>
      <c r="G40" s="20" t="s">
        <v>16</v>
      </c>
      <c r="H40" s="20" t="s">
        <v>17</v>
      </c>
      <c r="I40" s="20">
        <v>25</v>
      </c>
      <c r="J40" s="20">
        <v>5000</v>
      </c>
      <c r="K40" s="22">
        <v>0.05</v>
      </c>
      <c r="L40" s="20" t="str">
        <f>_xlfn.XLOOKUP(Sales_Table[[#This Row],[Product ID]],Products[Product ID],Products[Product Name],"N",0)</f>
        <v>Keyboard</v>
      </c>
      <c r="M40" s="20" t="str">
        <f>_xlfn.XLOOKUP(Sales_Table[[#This Row],[Employee ID]],Employees[Employee ID],Employees[Employee Name],"N",0)</f>
        <v>Kiran Rao</v>
      </c>
      <c r="N40" s="20" t="str">
        <f>_xlfn.XLOOKUP(Sales_Table[[#This Row],[Customer ID]],Table22[Customer ID],Table22[Customer Name])</f>
        <v>Smart World</v>
      </c>
      <c r="O40" s="23">
        <f>Sales_Table[[#This Row],[Unit Price]]*Sales_Table[[#This Row],[Quantity]]</f>
        <v>125000</v>
      </c>
      <c r="P40" s="23">
        <f>Sales_Table[[#This Row],[Gross Sales]]*Sales_Table[[#This Row],[Discount %]]</f>
        <v>6250</v>
      </c>
      <c r="Q40" s="23">
        <f>Sales_Table[[#This Row],[Gross Sales]]-Sales_Table[[#This Row],[Discount]]</f>
        <v>118750</v>
      </c>
      <c r="R40" s="23">
        <f>VLOOKUP(Sales_Table[[#This Row],[Product ID]],Products[],5,FALSE)*Sales_Table[[#This Row],[Quantity]]</f>
        <v>87500</v>
      </c>
      <c r="S40" s="23">
        <f>Sales_Table[[#This Row],[Net Sale]]-Sales_Table[[#This Row],[Total Cost]]</f>
        <v>31250</v>
      </c>
      <c r="T40" s="24">
        <f>Sales_Table[[#This Row],[Profit]]/Sales_Table[[#This Row],[Net Sale]]</f>
        <v>0.26315789473684209</v>
      </c>
      <c r="U40" s="23" t="str">
        <f>TEXT(Sales_Table[[#This Row],[Order Date]],"mmmm-YYYY")</f>
        <v>May-2026</v>
      </c>
      <c r="V40" s="23">
        <f>YEAR(Sales_Table[[#This Row],[Month]])</f>
        <v>2026</v>
      </c>
      <c r="W40" s="23" t="str">
        <f>TEXT(Sales_Table[[#This Row],[Order Date]],"DDDD")</f>
        <v>Friday</v>
      </c>
      <c r="X40" s="23" t="str">
        <f>IF(OR(Sales_Table[[#This Row],[Days ]]=$W$5,Sales_Table[[#This Row],[Days ]]=$W$8),"Weekned","Weekday")</f>
        <v>Weekday</v>
      </c>
      <c r="Y40" s="23" t="str">
        <f>IF(Sales_Table[[#This Row],[Order Status]]="Delivered","Y","N")</f>
        <v>Y</v>
      </c>
      <c r="Z40" s="23" t="str">
        <f>IF(Sales_Table[[#This Row],[Order Status]]="Returned","Yes","N")</f>
        <v>N</v>
      </c>
    </row>
    <row r="41" spans="1:26" ht="15.5" x14ac:dyDescent="0.35">
      <c r="A41" s="20" t="s">
        <v>83</v>
      </c>
      <c r="B41" s="21">
        <v>46154</v>
      </c>
      <c r="C41" s="20" t="s">
        <v>51</v>
      </c>
      <c r="D41" s="20" t="s">
        <v>32</v>
      </c>
      <c r="E41" s="20" t="s">
        <v>43</v>
      </c>
      <c r="F41" s="20" t="s">
        <v>34</v>
      </c>
      <c r="G41" s="20" t="s">
        <v>16</v>
      </c>
      <c r="H41" s="20" t="s">
        <v>35</v>
      </c>
      <c r="I41" s="20">
        <v>45</v>
      </c>
      <c r="J41" s="20">
        <v>2000</v>
      </c>
      <c r="K41" s="22">
        <v>0</v>
      </c>
      <c r="L41" s="20" t="str">
        <f>_xlfn.XLOOKUP(Sales_Table[[#This Row],[Product ID]],Products[Product ID],Products[Product Name],"N",0)</f>
        <v>Mouse</v>
      </c>
      <c r="M41" s="20" t="str">
        <f>_xlfn.XLOOKUP(Sales_Table[[#This Row],[Employee ID]],Employees[Employee ID],Employees[Employee Name],"N",0)</f>
        <v>Anjali Singh</v>
      </c>
      <c r="N41" s="20" t="str">
        <f>_xlfn.XLOOKUP(Sales_Table[[#This Row],[Customer ID]],Table22[Customer ID],Table22[Customer Name])</f>
        <v>NextGen Solutions</v>
      </c>
      <c r="O41" s="23">
        <f>Sales_Table[[#This Row],[Unit Price]]*Sales_Table[[#This Row],[Quantity]]</f>
        <v>90000</v>
      </c>
      <c r="P41" s="23">
        <f>Sales_Table[[#This Row],[Gross Sales]]*Sales_Table[[#This Row],[Discount %]]</f>
        <v>0</v>
      </c>
      <c r="Q41" s="23">
        <f>Sales_Table[[#This Row],[Gross Sales]]-Sales_Table[[#This Row],[Discount]]</f>
        <v>90000</v>
      </c>
      <c r="R41" s="23">
        <f>VLOOKUP(Sales_Table[[#This Row],[Product ID]],Products[],5,FALSE)*Sales_Table[[#This Row],[Quantity]]</f>
        <v>54000</v>
      </c>
      <c r="S41" s="23">
        <f>Sales_Table[[#This Row],[Net Sale]]-Sales_Table[[#This Row],[Total Cost]]</f>
        <v>36000</v>
      </c>
      <c r="T41" s="24">
        <f>Sales_Table[[#This Row],[Profit]]/Sales_Table[[#This Row],[Net Sale]]</f>
        <v>0.4</v>
      </c>
      <c r="U41" s="23" t="str">
        <f>TEXT(Sales_Table[[#This Row],[Order Date]],"mmmm-YYYY")</f>
        <v>May-2026</v>
      </c>
      <c r="V41" s="23">
        <f>YEAR(Sales_Table[[#This Row],[Month]])</f>
        <v>2026</v>
      </c>
      <c r="W41" s="23" t="str">
        <f>TEXT(Sales_Table[[#This Row],[Order Date]],"DDDD")</f>
        <v>Tuesday</v>
      </c>
      <c r="X41" s="23" t="str">
        <f>IF(OR(Sales_Table[[#This Row],[Days ]]=$W$5,Sales_Table[[#This Row],[Days ]]=$W$8),"Weekned","Weekday")</f>
        <v>Weekday</v>
      </c>
      <c r="Y41" s="23" t="str">
        <f>IF(Sales_Table[[#This Row],[Order Status]]="Delivered","Y","N")</f>
        <v>Y</v>
      </c>
      <c r="Z41" s="23" t="str">
        <f>IF(Sales_Table[[#This Row],[Order Status]]="Returned","Yes","N")</f>
        <v>N</v>
      </c>
    </row>
    <row r="42" spans="1:26" ht="15.5" x14ac:dyDescent="0.35">
      <c r="A42" s="20" t="s">
        <v>84</v>
      </c>
      <c r="B42" s="21">
        <v>46157</v>
      </c>
      <c r="C42" s="20" t="s">
        <v>12</v>
      </c>
      <c r="D42" s="20" t="s">
        <v>38</v>
      </c>
      <c r="E42" s="20" t="s">
        <v>14</v>
      </c>
      <c r="F42" s="20" t="s">
        <v>15</v>
      </c>
      <c r="G42" s="20" t="s">
        <v>16</v>
      </c>
      <c r="H42" s="20" t="s">
        <v>17</v>
      </c>
      <c r="I42" s="20">
        <v>7</v>
      </c>
      <c r="J42" s="20">
        <v>35000</v>
      </c>
      <c r="K42" s="22">
        <v>0.08</v>
      </c>
      <c r="L42" s="20" t="str">
        <f>_xlfn.XLOOKUP(Sales_Table[[#This Row],[Product ID]],Products[Product ID],Products[Product Name],"N",0)</f>
        <v>Printer</v>
      </c>
      <c r="M42" s="20" t="str">
        <f>_xlfn.XLOOKUP(Sales_Table[[#This Row],[Employee ID]],Employees[Employee ID],Employees[Employee Name],"N",0)</f>
        <v>Rahul Kumar</v>
      </c>
      <c r="N42" s="20" t="str">
        <f>_xlfn.XLOOKUP(Sales_Table[[#This Row],[Customer ID]],Table22[Customer ID],Table22[Customer Name])</f>
        <v>ABC Technologies</v>
      </c>
      <c r="O42" s="23">
        <f>Sales_Table[[#This Row],[Unit Price]]*Sales_Table[[#This Row],[Quantity]]</f>
        <v>245000</v>
      </c>
      <c r="P42" s="23">
        <f>Sales_Table[[#This Row],[Gross Sales]]*Sales_Table[[#This Row],[Discount %]]</f>
        <v>19600</v>
      </c>
      <c r="Q42" s="23">
        <f>Sales_Table[[#This Row],[Gross Sales]]-Sales_Table[[#This Row],[Discount]]</f>
        <v>225400</v>
      </c>
      <c r="R42" s="23">
        <f>VLOOKUP(Sales_Table[[#This Row],[Product ID]],Products[],5,FALSE)*Sales_Table[[#This Row],[Quantity]]</f>
        <v>189000</v>
      </c>
      <c r="S42" s="23">
        <f>Sales_Table[[#This Row],[Net Sale]]-Sales_Table[[#This Row],[Total Cost]]</f>
        <v>36400</v>
      </c>
      <c r="T42" s="24">
        <f>Sales_Table[[#This Row],[Profit]]/Sales_Table[[#This Row],[Net Sale]]</f>
        <v>0.16149068322981366</v>
      </c>
      <c r="U42" s="23" t="str">
        <f>TEXT(Sales_Table[[#This Row],[Order Date]],"mmmm-YYYY")</f>
        <v>May-2026</v>
      </c>
      <c r="V42" s="23">
        <f>YEAR(Sales_Table[[#This Row],[Month]])</f>
        <v>2026</v>
      </c>
      <c r="W42" s="23" t="str">
        <f>TEXT(Sales_Table[[#This Row],[Order Date]],"DDDD")</f>
        <v>Friday</v>
      </c>
      <c r="X42" s="23" t="str">
        <f>IF(OR(Sales_Table[[#This Row],[Days ]]=$W$5,Sales_Table[[#This Row],[Days ]]=$W$8),"Weekned","Weekday")</f>
        <v>Weekday</v>
      </c>
      <c r="Y42" s="23" t="str">
        <f>IF(Sales_Table[[#This Row],[Order Status]]="Delivered","Y","N")</f>
        <v>Y</v>
      </c>
      <c r="Z42" s="23" t="str">
        <f>IF(Sales_Table[[#This Row],[Order Status]]="Returned","Yes","N")</f>
        <v>N</v>
      </c>
    </row>
    <row r="43" spans="1:26" ht="15.5" x14ac:dyDescent="0.35">
      <c r="A43" s="20" t="s">
        <v>85</v>
      </c>
      <c r="B43" s="21">
        <v>46160</v>
      </c>
      <c r="C43" s="20" t="s">
        <v>19</v>
      </c>
      <c r="D43" s="20" t="s">
        <v>42</v>
      </c>
      <c r="E43" s="20" t="s">
        <v>21</v>
      </c>
      <c r="F43" s="20" t="s">
        <v>22</v>
      </c>
      <c r="G43" s="20" t="s">
        <v>16</v>
      </c>
      <c r="H43" s="20" t="s">
        <v>23</v>
      </c>
      <c r="I43" s="20">
        <v>18</v>
      </c>
      <c r="J43" s="20">
        <v>8000</v>
      </c>
      <c r="K43" s="22">
        <v>0.05</v>
      </c>
      <c r="L43" s="20" t="str">
        <f>_xlfn.XLOOKUP(Sales_Table[[#This Row],[Product ID]],Products[Product ID],Products[Product Name],"N",0)</f>
        <v>Headset</v>
      </c>
      <c r="M43" s="20" t="str">
        <f>_xlfn.XLOOKUP(Sales_Table[[#This Row],[Employee ID]],Employees[Employee ID],Employees[Employee Name],"N",0)</f>
        <v>Priya Sharma</v>
      </c>
      <c r="N43" s="20" t="str">
        <f>_xlfn.XLOOKUP(Sales_Table[[#This Row],[Customer ID]],Table22[Customer ID],Table22[Customer Name])</f>
        <v>Sri Lakshmi Traders</v>
      </c>
      <c r="O43" s="23">
        <f>Sales_Table[[#This Row],[Unit Price]]*Sales_Table[[#This Row],[Quantity]]</f>
        <v>144000</v>
      </c>
      <c r="P43" s="23">
        <f>Sales_Table[[#This Row],[Gross Sales]]*Sales_Table[[#This Row],[Discount %]]</f>
        <v>7200</v>
      </c>
      <c r="Q43" s="23">
        <f>Sales_Table[[#This Row],[Gross Sales]]-Sales_Table[[#This Row],[Discount]]</f>
        <v>136800</v>
      </c>
      <c r="R43" s="23">
        <f>VLOOKUP(Sales_Table[[#This Row],[Product ID]],Products[],5,FALSE)*Sales_Table[[#This Row],[Quantity]]</f>
        <v>93600</v>
      </c>
      <c r="S43" s="23">
        <f>Sales_Table[[#This Row],[Net Sale]]-Sales_Table[[#This Row],[Total Cost]]</f>
        <v>43200</v>
      </c>
      <c r="T43" s="24">
        <f>Sales_Table[[#This Row],[Profit]]/Sales_Table[[#This Row],[Net Sale]]</f>
        <v>0.31578947368421051</v>
      </c>
      <c r="U43" s="23" t="str">
        <f>TEXT(Sales_Table[[#This Row],[Order Date]],"mmmm-YYYY")</f>
        <v>May-2026</v>
      </c>
      <c r="V43" s="23">
        <f>YEAR(Sales_Table[[#This Row],[Month]])</f>
        <v>2026</v>
      </c>
      <c r="W43" s="23" t="str">
        <f>TEXT(Sales_Table[[#This Row],[Order Date]],"DDDD")</f>
        <v>Monday</v>
      </c>
      <c r="X43" s="23" t="str">
        <f>IF(OR(Sales_Table[[#This Row],[Days ]]=$W$5,Sales_Table[[#This Row],[Days ]]=$W$8),"Weekned","Weekday")</f>
        <v>Weekday</v>
      </c>
      <c r="Y43" s="23" t="str">
        <f>IF(Sales_Table[[#This Row],[Order Status]]="Delivered","Y","N")</f>
        <v>Y</v>
      </c>
      <c r="Z43" s="23" t="str">
        <f>IF(Sales_Table[[#This Row],[Order Status]]="Returned","Yes","N")</f>
        <v>N</v>
      </c>
    </row>
    <row r="44" spans="1:26" ht="15.5" x14ac:dyDescent="0.35">
      <c r="A44" s="20" t="s">
        <v>86</v>
      </c>
      <c r="B44" s="21">
        <v>46162</v>
      </c>
      <c r="C44" s="20" t="s">
        <v>25</v>
      </c>
      <c r="D44" s="20" t="s">
        <v>13</v>
      </c>
      <c r="E44" s="20" t="s">
        <v>27</v>
      </c>
      <c r="F44" s="20" t="s">
        <v>28</v>
      </c>
      <c r="G44" s="20" t="s">
        <v>16</v>
      </c>
      <c r="H44" s="20" t="s">
        <v>29</v>
      </c>
      <c r="I44" s="20">
        <v>4</v>
      </c>
      <c r="J44" s="20">
        <v>50000</v>
      </c>
      <c r="K44" s="22">
        <v>0.05</v>
      </c>
      <c r="L44" s="20" t="str">
        <f>_xlfn.XLOOKUP(Sales_Table[[#This Row],[Product ID]],Products[Product ID],Products[Product Name],"N",0)</f>
        <v>Laptop</v>
      </c>
      <c r="M44" s="20" t="str">
        <f>_xlfn.XLOOKUP(Sales_Table[[#This Row],[Employee ID]],Employees[Employee ID],Employees[Employee Name],"N",0)</f>
        <v>Arjun Reddy</v>
      </c>
      <c r="N44" s="20" t="str">
        <f>_xlfn.XLOOKUP(Sales_Table[[#This Row],[Customer ID]],Table22[Customer ID],Table22[Customer Name])</f>
        <v>Vertex Solutions</v>
      </c>
      <c r="O44" s="23">
        <f>Sales_Table[[#This Row],[Unit Price]]*Sales_Table[[#This Row],[Quantity]]</f>
        <v>200000</v>
      </c>
      <c r="P44" s="23">
        <f>Sales_Table[[#This Row],[Gross Sales]]*Sales_Table[[#This Row],[Discount %]]</f>
        <v>10000</v>
      </c>
      <c r="Q44" s="23">
        <f>Sales_Table[[#This Row],[Gross Sales]]-Sales_Table[[#This Row],[Discount]]</f>
        <v>190000</v>
      </c>
      <c r="R44" s="23">
        <f>VLOOKUP(Sales_Table[[#This Row],[Product ID]],Products[],5,FALSE)*Sales_Table[[#This Row],[Quantity]]</f>
        <v>156000</v>
      </c>
      <c r="S44" s="23">
        <f>Sales_Table[[#This Row],[Net Sale]]-Sales_Table[[#This Row],[Total Cost]]</f>
        <v>34000</v>
      </c>
      <c r="T44" s="24">
        <f>Sales_Table[[#This Row],[Profit]]/Sales_Table[[#This Row],[Net Sale]]</f>
        <v>0.17894736842105263</v>
      </c>
      <c r="U44" s="23" t="str">
        <f>TEXT(Sales_Table[[#This Row],[Order Date]],"mmmm-YYYY")</f>
        <v>May-2026</v>
      </c>
      <c r="V44" s="23">
        <f>YEAR(Sales_Table[[#This Row],[Month]])</f>
        <v>2026</v>
      </c>
      <c r="W44" s="23" t="str">
        <f>TEXT(Sales_Table[[#This Row],[Order Date]],"DDDD")</f>
        <v>Wednesday</v>
      </c>
      <c r="X44" s="23" t="str">
        <f>IF(OR(Sales_Table[[#This Row],[Days ]]=$W$5,Sales_Table[[#This Row],[Days ]]=$W$8),"Weekned","Weekday")</f>
        <v>Weekday</v>
      </c>
      <c r="Y44" s="23" t="str">
        <f>IF(Sales_Table[[#This Row],[Order Status]]="Delivered","Y","N")</f>
        <v>Y</v>
      </c>
      <c r="Z44" s="23" t="str">
        <f>IF(Sales_Table[[#This Row],[Order Status]]="Returned","Yes","N")</f>
        <v>N</v>
      </c>
    </row>
    <row r="45" spans="1:26" ht="15.5" x14ac:dyDescent="0.35">
      <c r="A45" s="20" t="s">
        <v>87</v>
      </c>
      <c r="B45" s="21">
        <v>46167</v>
      </c>
      <c r="C45" s="20" t="s">
        <v>31</v>
      </c>
      <c r="D45" s="20" t="s">
        <v>20</v>
      </c>
      <c r="E45" s="20" t="s">
        <v>33</v>
      </c>
      <c r="F45" s="20" t="s">
        <v>34</v>
      </c>
      <c r="G45" s="20" t="s">
        <v>16</v>
      </c>
      <c r="H45" s="20" t="s">
        <v>17</v>
      </c>
      <c r="I45" s="20">
        <v>13</v>
      </c>
      <c r="J45" s="20">
        <v>25000</v>
      </c>
      <c r="K45" s="22">
        <v>0.1</v>
      </c>
      <c r="L45" s="20" t="str">
        <f>_xlfn.XLOOKUP(Sales_Table[[#This Row],[Product ID]],Products[Product ID],Products[Product Name],"N",0)</f>
        <v>Monitor</v>
      </c>
      <c r="M45" s="20" t="str">
        <f>_xlfn.XLOOKUP(Sales_Table[[#This Row],[Employee ID]],Employees[Employee ID],Employees[Employee Name],"N",0)</f>
        <v>Sneha Patel</v>
      </c>
      <c r="N45" s="20" t="str">
        <f>_xlfn.XLOOKUP(Sales_Table[[#This Row],[Customer ID]],Table22[Customer ID],Table22[Customer Name])</f>
        <v>Royal Enterprises</v>
      </c>
      <c r="O45" s="23">
        <f>Sales_Table[[#This Row],[Unit Price]]*Sales_Table[[#This Row],[Quantity]]</f>
        <v>325000</v>
      </c>
      <c r="P45" s="23">
        <f>Sales_Table[[#This Row],[Gross Sales]]*Sales_Table[[#This Row],[Discount %]]</f>
        <v>32500</v>
      </c>
      <c r="Q45" s="23">
        <f>Sales_Table[[#This Row],[Gross Sales]]-Sales_Table[[#This Row],[Discount]]</f>
        <v>292500</v>
      </c>
      <c r="R45" s="23">
        <f>VLOOKUP(Sales_Table[[#This Row],[Product ID]],Products[],5,FALSE)*Sales_Table[[#This Row],[Quantity]]</f>
        <v>247000</v>
      </c>
      <c r="S45" s="23">
        <f>Sales_Table[[#This Row],[Net Sale]]-Sales_Table[[#This Row],[Total Cost]]</f>
        <v>45500</v>
      </c>
      <c r="T45" s="24">
        <f>Sales_Table[[#This Row],[Profit]]/Sales_Table[[#This Row],[Net Sale]]</f>
        <v>0.15555555555555556</v>
      </c>
      <c r="U45" s="23" t="str">
        <f>TEXT(Sales_Table[[#This Row],[Order Date]],"mmmm-YYYY")</f>
        <v>May-2026</v>
      </c>
      <c r="V45" s="23">
        <f>YEAR(Sales_Table[[#This Row],[Month]])</f>
        <v>2026</v>
      </c>
      <c r="W45" s="23" t="str">
        <f>TEXT(Sales_Table[[#This Row],[Order Date]],"DDDD")</f>
        <v>Monday</v>
      </c>
      <c r="X45" s="23" t="str">
        <f>IF(OR(Sales_Table[[#This Row],[Days ]]=$W$5,Sales_Table[[#This Row],[Days ]]=$W$8),"Weekned","Weekday")</f>
        <v>Weekday</v>
      </c>
      <c r="Y45" s="23" t="str">
        <f>IF(Sales_Table[[#This Row],[Order Status]]="Delivered","Y","N")</f>
        <v>Y</v>
      </c>
      <c r="Z45" s="23" t="str">
        <f>IF(Sales_Table[[#This Row],[Order Status]]="Returned","Yes","N")</f>
        <v>N</v>
      </c>
    </row>
    <row r="46" spans="1:26" ht="15.5" x14ac:dyDescent="0.35">
      <c r="A46" s="20" t="s">
        <v>88</v>
      </c>
      <c r="B46" s="21">
        <v>46175</v>
      </c>
      <c r="C46" s="20" t="s">
        <v>37</v>
      </c>
      <c r="D46" s="20" t="s">
        <v>26</v>
      </c>
      <c r="E46" s="20" t="s">
        <v>39</v>
      </c>
      <c r="F46" s="20" t="s">
        <v>15</v>
      </c>
      <c r="G46" s="20" t="s">
        <v>16</v>
      </c>
      <c r="H46" s="20" t="s">
        <v>23</v>
      </c>
      <c r="I46" s="20">
        <v>35</v>
      </c>
      <c r="J46" s="20">
        <v>5000</v>
      </c>
      <c r="K46" s="22">
        <v>0.08</v>
      </c>
      <c r="L46" s="20" t="str">
        <f>_xlfn.XLOOKUP(Sales_Table[[#This Row],[Product ID]],Products[Product ID],Products[Product Name],"N",0)</f>
        <v>Keyboard</v>
      </c>
      <c r="M46" s="20" t="str">
        <f>_xlfn.XLOOKUP(Sales_Table[[#This Row],[Employee ID]],Employees[Employee ID],Employees[Employee Name],"N",0)</f>
        <v>Kiran Rao</v>
      </c>
      <c r="N46" s="20" t="str">
        <f>_xlfn.XLOOKUP(Sales_Table[[#This Row],[Customer ID]],Table22[Customer ID],Table22[Customer Name])</f>
        <v>TechNova Pvt Ltd</v>
      </c>
      <c r="O46" s="23">
        <f>Sales_Table[[#This Row],[Unit Price]]*Sales_Table[[#This Row],[Quantity]]</f>
        <v>175000</v>
      </c>
      <c r="P46" s="23">
        <f>Sales_Table[[#This Row],[Gross Sales]]*Sales_Table[[#This Row],[Discount %]]</f>
        <v>14000</v>
      </c>
      <c r="Q46" s="23">
        <f>Sales_Table[[#This Row],[Gross Sales]]-Sales_Table[[#This Row],[Discount]]</f>
        <v>161000</v>
      </c>
      <c r="R46" s="23">
        <f>VLOOKUP(Sales_Table[[#This Row],[Product ID]],Products[],5,FALSE)*Sales_Table[[#This Row],[Quantity]]</f>
        <v>122500</v>
      </c>
      <c r="S46" s="23">
        <f>Sales_Table[[#This Row],[Net Sale]]-Sales_Table[[#This Row],[Total Cost]]</f>
        <v>38500</v>
      </c>
      <c r="T46" s="24">
        <f>Sales_Table[[#This Row],[Profit]]/Sales_Table[[#This Row],[Net Sale]]</f>
        <v>0.2391304347826087</v>
      </c>
      <c r="U46" s="23" t="str">
        <f>TEXT(Sales_Table[[#This Row],[Order Date]],"mmmm-YYYY")</f>
        <v>June-2026</v>
      </c>
      <c r="V46" s="23">
        <f>YEAR(Sales_Table[[#This Row],[Month]])</f>
        <v>2026</v>
      </c>
      <c r="W46" s="23" t="str">
        <f>TEXT(Sales_Table[[#This Row],[Order Date]],"DDDD")</f>
        <v>Tuesday</v>
      </c>
      <c r="X46" s="23" t="str">
        <f>IF(OR(Sales_Table[[#This Row],[Days ]]=$W$5,Sales_Table[[#This Row],[Days ]]=$W$8),"Weekned","Weekday")</f>
        <v>Weekday</v>
      </c>
      <c r="Y46" s="23" t="str">
        <f>IF(Sales_Table[[#This Row],[Order Status]]="Delivered","Y","N")</f>
        <v>Y</v>
      </c>
      <c r="Z46" s="23" t="str">
        <f>IF(Sales_Table[[#This Row],[Order Status]]="Returned","Yes","N")</f>
        <v>N</v>
      </c>
    </row>
    <row r="47" spans="1:26" ht="15.5" x14ac:dyDescent="0.35">
      <c r="A47" s="20" t="s">
        <v>89</v>
      </c>
      <c r="B47" s="21">
        <v>46178</v>
      </c>
      <c r="C47" s="20" t="s">
        <v>41</v>
      </c>
      <c r="D47" s="20" t="s">
        <v>32</v>
      </c>
      <c r="E47" s="20" t="s">
        <v>43</v>
      </c>
      <c r="F47" s="20" t="s">
        <v>22</v>
      </c>
      <c r="G47" s="20" t="s">
        <v>16</v>
      </c>
      <c r="H47" s="20" t="s">
        <v>35</v>
      </c>
      <c r="I47" s="20">
        <v>38</v>
      </c>
      <c r="J47" s="20">
        <v>2000</v>
      </c>
      <c r="K47" s="22">
        <v>0</v>
      </c>
      <c r="L47" s="20" t="str">
        <f>_xlfn.XLOOKUP(Sales_Table[[#This Row],[Product ID]],Products[Product ID],Products[Product Name],"N",0)</f>
        <v>Mouse</v>
      </c>
      <c r="M47" s="20" t="str">
        <f>_xlfn.XLOOKUP(Sales_Table[[#This Row],[Employee ID]],Employees[Employee ID],Employees[Employee Name],"N",0)</f>
        <v>Anjali Singh</v>
      </c>
      <c r="N47" s="20" t="str">
        <f>_xlfn.XLOOKUP(Sales_Table[[#This Row],[Customer ID]],Table22[Customer ID],Table22[Customer Name])</f>
        <v>Metro Computers</v>
      </c>
      <c r="O47" s="23">
        <f>Sales_Table[[#This Row],[Unit Price]]*Sales_Table[[#This Row],[Quantity]]</f>
        <v>76000</v>
      </c>
      <c r="P47" s="23">
        <f>Sales_Table[[#This Row],[Gross Sales]]*Sales_Table[[#This Row],[Discount %]]</f>
        <v>0</v>
      </c>
      <c r="Q47" s="23">
        <f>Sales_Table[[#This Row],[Gross Sales]]-Sales_Table[[#This Row],[Discount]]</f>
        <v>76000</v>
      </c>
      <c r="R47" s="23">
        <f>VLOOKUP(Sales_Table[[#This Row],[Product ID]],Products[],5,FALSE)*Sales_Table[[#This Row],[Quantity]]</f>
        <v>45600</v>
      </c>
      <c r="S47" s="23">
        <f>Sales_Table[[#This Row],[Net Sale]]-Sales_Table[[#This Row],[Total Cost]]</f>
        <v>30400</v>
      </c>
      <c r="T47" s="24">
        <f>Sales_Table[[#This Row],[Profit]]/Sales_Table[[#This Row],[Net Sale]]</f>
        <v>0.4</v>
      </c>
      <c r="U47" s="23" t="str">
        <f>TEXT(Sales_Table[[#This Row],[Order Date]],"mmmm-YYYY")</f>
        <v>June-2026</v>
      </c>
      <c r="V47" s="23">
        <f>YEAR(Sales_Table[[#This Row],[Month]])</f>
        <v>2026</v>
      </c>
      <c r="W47" s="23" t="str">
        <f>TEXT(Sales_Table[[#This Row],[Order Date]],"DDDD")</f>
        <v>Friday</v>
      </c>
      <c r="X47" s="23" t="str">
        <f>IF(OR(Sales_Table[[#This Row],[Days ]]=$W$5,Sales_Table[[#This Row],[Days ]]=$W$8),"Weekned","Weekday")</f>
        <v>Weekday</v>
      </c>
      <c r="Y47" s="23" t="str">
        <f>IF(Sales_Table[[#This Row],[Order Status]]="Delivered","Y","N")</f>
        <v>Y</v>
      </c>
      <c r="Z47" s="23" t="str">
        <f>IF(Sales_Table[[#This Row],[Order Status]]="Returned","Yes","N")</f>
        <v>N</v>
      </c>
    </row>
    <row r="48" spans="1:26" ht="15.5" x14ac:dyDescent="0.35">
      <c r="A48" s="20" t="s">
        <v>90</v>
      </c>
      <c r="B48" s="21">
        <v>46181</v>
      </c>
      <c r="C48" s="20" t="s">
        <v>45</v>
      </c>
      <c r="D48" s="20" t="s">
        <v>38</v>
      </c>
      <c r="E48" s="20" t="s">
        <v>14</v>
      </c>
      <c r="F48" s="20" t="s">
        <v>28</v>
      </c>
      <c r="G48" s="20" t="s">
        <v>16</v>
      </c>
      <c r="H48" s="20" t="s">
        <v>29</v>
      </c>
      <c r="I48" s="20">
        <v>10</v>
      </c>
      <c r="J48" s="20">
        <v>35000</v>
      </c>
      <c r="K48" s="22">
        <v>0.1</v>
      </c>
      <c r="L48" s="20" t="str">
        <f>_xlfn.XLOOKUP(Sales_Table[[#This Row],[Product ID]],Products[Product ID],Products[Product Name],"N",0)</f>
        <v>Printer</v>
      </c>
      <c r="M48" s="20" t="str">
        <f>_xlfn.XLOOKUP(Sales_Table[[#This Row],[Employee ID]],Employees[Employee ID],Employees[Employee Name],"N",0)</f>
        <v>Rahul Kumar</v>
      </c>
      <c r="N48" s="20" t="str">
        <f>_xlfn.XLOOKUP(Sales_Table[[#This Row],[Customer ID]],Table22[Customer ID],Table22[Customer Name])</f>
        <v>Future Systems</v>
      </c>
      <c r="O48" s="23">
        <f>Sales_Table[[#This Row],[Unit Price]]*Sales_Table[[#This Row],[Quantity]]</f>
        <v>350000</v>
      </c>
      <c r="P48" s="23">
        <f>Sales_Table[[#This Row],[Gross Sales]]*Sales_Table[[#This Row],[Discount %]]</f>
        <v>35000</v>
      </c>
      <c r="Q48" s="23">
        <f>Sales_Table[[#This Row],[Gross Sales]]-Sales_Table[[#This Row],[Discount]]</f>
        <v>315000</v>
      </c>
      <c r="R48" s="23">
        <f>VLOOKUP(Sales_Table[[#This Row],[Product ID]],Products[],5,FALSE)*Sales_Table[[#This Row],[Quantity]]</f>
        <v>270000</v>
      </c>
      <c r="S48" s="23">
        <f>Sales_Table[[#This Row],[Net Sale]]-Sales_Table[[#This Row],[Total Cost]]</f>
        <v>45000</v>
      </c>
      <c r="T48" s="24">
        <f>Sales_Table[[#This Row],[Profit]]/Sales_Table[[#This Row],[Net Sale]]</f>
        <v>0.14285714285714285</v>
      </c>
      <c r="U48" s="23" t="str">
        <f>TEXT(Sales_Table[[#This Row],[Order Date]],"mmmm-YYYY")</f>
        <v>June-2026</v>
      </c>
      <c r="V48" s="23">
        <f>YEAR(Sales_Table[[#This Row],[Month]])</f>
        <v>2026</v>
      </c>
      <c r="W48" s="23" t="str">
        <f>TEXT(Sales_Table[[#This Row],[Order Date]],"DDDD")</f>
        <v>Monday</v>
      </c>
      <c r="X48" s="23" t="str">
        <f>IF(OR(Sales_Table[[#This Row],[Days ]]=$W$5,Sales_Table[[#This Row],[Days ]]=$W$8),"Weekned","Weekday")</f>
        <v>Weekday</v>
      </c>
      <c r="Y48" s="23" t="str">
        <f>IF(Sales_Table[[#This Row],[Order Status]]="Delivered","Y","N")</f>
        <v>Y</v>
      </c>
      <c r="Z48" s="23" t="str">
        <f>IF(Sales_Table[[#This Row],[Order Status]]="Returned","Yes","N")</f>
        <v>N</v>
      </c>
    </row>
    <row r="49" spans="1:26" ht="15.5" x14ac:dyDescent="0.35">
      <c r="A49" s="20" t="s">
        <v>91</v>
      </c>
      <c r="B49" s="21">
        <v>46185</v>
      </c>
      <c r="C49" s="20" t="s">
        <v>47</v>
      </c>
      <c r="D49" s="20" t="s">
        <v>42</v>
      </c>
      <c r="E49" s="20" t="s">
        <v>21</v>
      </c>
      <c r="F49" s="20" t="s">
        <v>34</v>
      </c>
      <c r="G49" s="20" t="s">
        <v>16</v>
      </c>
      <c r="H49" s="20" t="s">
        <v>17</v>
      </c>
      <c r="I49" s="20">
        <v>20</v>
      </c>
      <c r="J49" s="20">
        <v>8000</v>
      </c>
      <c r="K49" s="22">
        <v>0.05</v>
      </c>
      <c r="L49" s="20" t="str">
        <f>_xlfn.XLOOKUP(Sales_Table[[#This Row],[Product ID]],Products[Product ID],Products[Product Name],"N",0)</f>
        <v>Headset</v>
      </c>
      <c r="M49" s="20" t="str">
        <f>_xlfn.XLOOKUP(Sales_Table[[#This Row],[Employee ID]],Employees[Employee ID],Employees[Employee Name],"N",0)</f>
        <v>Priya Sharma</v>
      </c>
      <c r="N49" s="20" t="str">
        <f>_xlfn.XLOOKUP(Sales_Table[[#This Row],[Customer ID]],Table22[Customer ID],Table22[Customer Name])</f>
        <v>Prime Digital</v>
      </c>
      <c r="O49" s="23">
        <f>Sales_Table[[#This Row],[Unit Price]]*Sales_Table[[#This Row],[Quantity]]</f>
        <v>160000</v>
      </c>
      <c r="P49" s="23">
        <f>Sales_Table[[#This Row],[Gross Sales]]*Sales_Table[[#This Row],[Discount %]]</f>
        <v>8000</v>
      </c>
      <c r="Q49" s="23">
        <f>Sales_Table[[#This Row],[Gross Sales]]-Sales_Table[[#This Row],[Discount]]</f>
        <v>152000</v>
      </c>
      <c r="R49" s="23">
        <f>VLOOKUP(Sales_Table[[#This Row],[Product ID]],Products[],5,FALSE)*Sales_Table[[#This Row],[Quantity]]</f>
        <v>104000</v>
      </c>
      <c r="S49" s="23">
        <f>Sales_Table[[#This Row],[Net Sale]]-Sales_Table[[#This Row],[Total Cost]]</f>
        <v>48000</v>
      </c>
      <c r="T49" s="24">
        <f>Sales_Table[[#This Row],[Profit]]/Sales_Table[[#This Row],[Net Sale]]</f>
        <v>0.31578947368421051</v>
      </c>
      <c r="U49" s="23" t="str">
        <f>TEXT(Sales_Table[[#This Row],[Order Date]],"mmmm-YYYY")</f>
        <v>June-2026</v>
      </c>
      <c r="V49" s="23">
        <f>YEAR(Sales_Table[[#This Row],[Month]])</f>
        <v>2026</v>
      </c>
      <c r="W49" s="23" t="str">
        <f>TEXT(Sales_Table[[#This Row],[Order Date]],"DDDD")</f>
        <v>Friday</v>
      </c>
      <c r="X49" s="23" t="str">
        <f>IF(OR(Sales_Table[[#This Row],[Days ]]=$W$5,Sales_Table[[#This Row],[Days ]]=$W$8),"Weekned","Weekday")</f>
        <v>Weekday</v>
      </c>
      <c r="Y49" s="23" t="str">
        <f>IF(Sales_Table[[#This Row],[Order Status]]="Delivered","Y","N")</f>
        <v>Y</v>
      </c>
      <c r="Z49" s="23" t="str">
        <f>IF(Sales_Table[[#This Row],[Order Status]]="Returned","Yes","N")</f>
        <v>N</v>
      </c>
    </row>
    <row r="50" spans="1:26" ht="15.5" x14ac:dyDescent="0.35">
      <c r="A50" s="20" t="s">
        <v>92</v>
      </c>
      <c r="B50" s="21">
        <v>46188</v>
      </c>
      <c r="C50" s="20" t="s">
        <v>49</v>
      </c>
      <c r="D50" s="20" t="s">
        <v>13</v>
      </c>
      <c r="E50" s="20" t="s">
        <v>27</v>
      </c>
      <c r="F50" s="20" t="s">
        <v>15</v>
      </c>
      <c r="G50" s="20" t="s">
        <v>16</v>
      </c>
      <c r="H50" s="20" t="s">
        <v>23</v>
      </c>
      <c r="I50" s="20">
        <v>6</v>
      </c>
      <c r="J50" s="20">
        <v>50000</v>
      </c>
      <c r="K50" s="22">
        <v>0.12</v>
      </c>
      <c r="L50" s="20" t="str">
        <f>_xlfn.XLOOKUP(Sales_Table[[#This Row],[Product ID]],Products[Product ID],Products[Product Name],"N",0)</f>
        <v>Laptop</v>
      </c>
      <c r="M50" s="20" t="str">
        <f>_xlfn.XLOOKUP(Sales_Table[[#This Row],[Employee ID]],Employees[Employee ID],Employees[Employee Name],"N",0)</f>
        <v>Arjun Reddy</v>
      </c>
      <c r="N50" s="20" t="str">
        <f>_xlfn.XLOOKUP(Sales_Table[[#This Row],[Customer ID]],Table22[Customer ID],Table22[Customer Name])</f>
        <v>Smart World</v>
      </c>
      <c r="O50" s="23">
        <f>Sales_Table[[#This Row],[Unit Price]]*Sales_Table[[#This Row],[Quantity]]</f>
        <v>300000</v>
      </c>
      <c r="P50" s="23">
        <f>Sales_Table[[#This Row],[Gross Sales]]*Sales_Table[[#This Row],[Discount %]]</f>
        <v>36000</v>
      </c>
      <c r="Q50" s="23">
        <f>Sales_Table[[#This Row],[Gross Sales]]-Sales_Table[[#This Row],[Discount]]</f>
        <v>264000</v>
      </c>
      <c r="R50" s="23">
        <f>VLOOKUP(Sales_Table[[#This Row],[Product ID]],Products[],5,FALSE)*Sales_Table[[#This Row],[Quantity]]</f>
        <v>234000</v>
      </c>
      <c r="S50" s="23">
        <f>Sales_Table[[#This Row],[Net Sale]]-Sales_Table[[#This Row],[Total Cost]]</f>
        <v>30000</v>
      </c>
      <c r="T50" s="24">
        <f>Sales_Table[[#This Row],[Profit]]/Sales_Table[[#This Row],[Net Sale]]</f>
        <v>0.11363636363636363</v>
      </c>
      <c r="U50" s="23" t="str">
        <f>TEXT(Sales_Table[[#This Row],[Order Date]],"mmmm-YYYY")</f>
        <v>June-2026</v>
      </c>
      <c r="V50" s="23">
        <f>YEAR(Sales_Table[[#This Row],[Month]])</f>
        <v>2026</v>
      </c>
      <c r="W50" s="23" t="str">
        <f>TEXT(Sales_Table[[#This Row],[Order Date]],"DDDD")</f>
        <v>Monday</v>
      </c>
      <c r="X50" s="23" t="str">
        <f>IF(OR(Sales_Table[[#This Row],[Days ]]=$W$5,Sales_Table[[#This Row],[Days ]]=$W$8),"Weekned","Weekday")</f>
        <v>Weekday</v>
      </c>
      <c r="Y50" s="23" t="str">
        <f>IF(Sales_Table[[#This Row],[Order Status]]="Delivered","Y","N")</f>
        <v>Y</v>
      </c>
      <c r="Z50" s="23" t="str">
        <f>IF(Sales_Table[[#This Row],[Order Status]]="Returned","Yes","N")</f>
        <v>N</v>
      </c>
    </row>
    <row r="51" spans="1:26" ht="15.5" x14ac:dyDescent="0.35">
      <c r="A51" s="20" t="s">
        <v>93</v>
      </c>
      <c r="B51" s="21">
        <v>46191</v>
      </c>
      <c r="C51" s="20" t="s">
        <v>51</v>
      </c>
      <c r="D51" s="20" t="s">
        <v>20</v>
      </c>
      <c r="E51" s="20" t="s">
        <v>33</v>
      </c>
      <c r="F51" s="20" t="s">
        <v>22</v>
      </c>
      <c r="G51" s="20" t="s">
        <v>16</v>
      </c>
      <c r="H51" s="20" t="s">
        <v>29</v>
      </c>
      <c r="I51" s="20">
        <v>16</v>
      </c>
      <c r="J51" s="20">
        <v>25000</v>
      </c>
      <c r="K51" s="22">
        <v>0.08</v>
      </c>
      <c r="L51" s="20" t="str">
        <f>_xlfn.XLOOKUP(Sales_Table[[#This Row],[Product ID]],Products[Product ID],Products[Product Name],"N",0)</f>
        <v>Monitor</v>
      </c>
      <c r="M51" s="20" t="str">
        <f>_xlfn.XLOOKUP(Sales_Table[[#This Row],[Employee ID]],Employees[Employee ID],Employees[Employee Name],"N",0)</f>
        <v>Sneha Patel</v>
      </c>
      <c r="N51" s="20" t="str">
        <f>_xlfn.XLOOKUP(Sales_Table[[#This Row],[Customer ID]],Table22[Customer ID],Table22[Customer Name])</f>
        <v>NextGen Solutions</v>
      </c>
      <c r="O51" s="23">
        <f>Sales_Table[[#This Row],[Unit Price]]*Sales_Table[[#This Row],[Quantity]]</f>
        <v>400000</v>
      </c>
      <c r="P51" s="23">
        <f>Sales_Table[[#This Row],[Gross Sales]]*Sales_Table[[#This Row],[Discount %]]</f>
        <v>32000</v>
      </c>
      <c r="Q51" s="23">
        <f>Sales_Table[[#This Row],[Gross Sales]]-Sales_Table[[#This Row],[Discount]]</f>
        <v>368000</v>
      </c>
      <c r="R51" s="23">
        <f>VLOOKUP(Sales_Table[[#This Row],[Product ID]],Products[],5,FALSE)*Sales_Table[[#This Row],[Quantity]]</f>
        <v>304000</v>
      </c>
      <c r="S51" s="23">
        <f>Sales_Table[[#This Row],[Net Sale]]-Sales_Table[[#This Row],[Total Cost]]</f>
        <v>64000</v>
      </c>
      <c r="T51" s="24">
        <f>Sales_Table[[#This Row],[Profit]]/Sales_Table[[#This Row],[Net Sale]]</f>
        <v>0.17391304347826086</v>
      </c>
      <c r="U51" s="23" t="str">
        <f>TEXT(Sales_Table[[#This Row],[Order Date]],"mmmm-YYYY")</f>
        <v>June-2026</v>
      </c>
      <c r="V51" s="23">
        <f>YEAR(Sales_Table[[#This Row],[Month]])</f>
        <v>2026</v>
      </c>
      <c r="W51" s="23" t="str">
        <f>TEXT(Sales_Table[[#This Row],[Order Date]],"DDDD")</f>
        <v>Thursday</v>
      </c>
      <c r="X51" s="23" t="str">
        <f>IF(OR(Sales_Table[[#This Row],[Days ]]=$W$5,Sales_Table[[#This Row],[Days ]]=$W$8),"Weekned","Weekday")</f>
        <v>Weekday</v>
      </c>
      <c r="Y51" s="23" t="str">
        <f>IF(Sales_Table[[#This Row],[Order Status]]="Delivered","Y","N")</f>
        <v>Y</v>
      </c>
      <c r="Z51" s="23" t="str">
        <f>IF(Sales_Table[[#This Row],[Order Status]]="Returned","Yes","N")</f>
        <v>N</v>
      </c>
    </row>
    <row r="52" spans="1:26" ht="15.5" x14ac:dyDescent="0.35">
      <c r="A52" s="20" t="s">
        <v>94</v>
      </c>
      <c r="B52" s="21">
        <v>46195</v>
      </c>
      <c r="C52" s="20" t="s">
        <v>12</v>
      </c>
      <c r="D52" s="20" t="s">
        <v>26</v>
      </c>
      <c r="E52" s="20" t="s">
        <v>39</v>
      </c>
      <c r="F52" s="20" t="s">
        <v>28</v>
      </c>
      <c r="G52" s="20" t="s">
        <v>16</v>
      </c>
      <c r="H52" s="20" t="s">
        <v>17</v>
      </c>
      <c r="I52" s="20">
        <v>30</v>
      </c>
      <c r="J52" s="20">
        <v>5000</v>
      </c>
      <c r="K52" s="22">
        <v>0.05</v>
      </c>
      <c r="L52" s="20" t="str">
        <f>_xlfn.XLOOKUP(Sales_Table[[#This Row],[Product ID]],Products[Product ID],Products[Product Name],"N",0)</f>
        <v>Keyboard</v>
      </c>
      <c r="M52" s="20" t="str">
        <f>_xlfn.XLOOKUP(Sales_Table[[#This Row],[Employee ID]],Employees[Employee ID],Employees[Employee Name],"N",0)</f>
        <v>Kiran Rao</v>
      </c>
      <c r="N52" s="20" t="str">
        <f>_xlfn.XLOOKUP(Sales_Table[[#This Row],[Customer ID]],Table22[Customer ID],Table22[Customer Name])</f>
        <v>ABC Technologies</v>
      </c>
      <c r="O52" s="23">
        <f>Sales_Table[[#This Row],[Unit Price]]*Sales_Table[[#This Row],[Quantity]]</f>
        <v>150000</v>
      </c>
      <c r="P52" s="23">
        <f>Sales_Table[[#This Row],[Gross Sales]]*Sales_Table[[#This Row],[Discount %]]</f>
        <v>7500</v>
      </c>
      <c r="Q52" s="23">
        <f>Sales_Table[[#This Row],[Gross Sales]]-Sales_Table[[#This Row],[Discount]]</f>
        <v>142500</v>
      </c>
      <c r="R52" s="23">
        <f>VLOOKUP(Sales_Table[[#This Row],[Product ID]],Products[],5,FALSE)*Sales_Table[[#This Row],[Quantity]]</f>
        <v>105000</v>
      </c>
      <c r="S52" s="23">
        <f>Sales_Table[[#This Row],[Net Sale]]-Sales_Table[[#This Row],[Total Cost]]</f>
        <v>37500</v>
      </c>
      <c r="T52" s="24">
        <f>Sales_Table[[#This Row],[Profit]]/Sales_Table[[#This Row],[Net Sale]]</f>
        <v>0.26315789473684209</v>
      </c>
      <c r="U52" s="23" t="str">
        <f>TEXT(Sales_Table[[#This Row],[Order Date]],"mmmm-YYYY")</f>
        <v>June-2026</v>
      </c>
      <c r="V52" s="23">
        <f>YEAR(Sales_Table[[#This Row],[Month]])</f>
        <v>2026</v>
      </c>
      <c r="W52" s="23" t="str">
        <f>TEXT(Sales_Table[[#This Row],[Order Date]],"DDDD")</f>
        <v>Monday</v>
      </c>
      <c r="X52" s="23" t="str">
        <f>IF(OR(Sales_Table[[#This Row],[Days ]]=$W$5,Sales_Table[[#This Row],[Days ]]=$W$8),"Weekned","Weekday")</f>
        <v>Weekday</v>
      </c>
      <c r="Y52" s="23" t="str">
        <f>IF(Sales_Table[[#This Row],[Order Status]]="Delivered","Y","N")</f>
        <v>Y</v>
      </c>
      <c r="Z52" s="23" t="str">
        <f>IF(Sales_Table[[#This Row],[Order Status]]="Returned","Yes","N")</f>
        <v>N</v>
      </c>
    </row>
    <row r="53" spans="1:26" ht="15.5" x14ac:dyDescent="0.35">
      <c r="A53" s="20" t="s">
        <v>95</v>
      </c>
      <c r="B53" s="21">
        <v>46198</v>
      </c>
      <c r="C53" s="20" t="s">
        <v>19</v>
      </c>
      <c r="D53" s="20" t="s">
        <v>32</v>
      </c>
      <c r="E53" s="20" t="s">
        <v>43</v>
      </c>
      <c r="F53" s="20" t="s">
        <v>34</v>
      </c>
      <c r="G53" s="20" t="s">
        <v>16</v>
      </c>
      <c r="H53" s="20" t="s">
        <v>35</v>
      </c>
      <c r="I53" s="20">
        <v>42</v>
      </c>
      <c r="J53" s="20">
        <v>2000</v>
      </c>
      <c r="K53" s="22">
        <v>0</v>
      </c>
      <c r="L53" s="20" t="str">
        <f>_xlfn.XLOOKUP(Sales_Table[[#This Row],[Product ID]],Products[Product ID],Products[Product Name],"N",0)</f>
        <v>Mouse</v>
      </c>
      <c r="M53" s="20" t="str">
        <f>_xlfn.XLOOKUP(Sales_Table[[#This Row],[Employee ID]],Employees[Employee ID],Employees[Employee Name],"N",0)</f>
        <v>Anjali Singh</v>
      </c>
      <c r="N53" s="20" t="str">
        <f>_xlfn.XLOOKUP(Sales_Table[[#This Row],[Customer ID]],Table22[Customer ID],Table22[Customer Name])</f>
        <v>Sri Lakshmi Traders</v>
      </c>
      <c r="O53" s="23">
        <f>Sales_Table[[#This Row],[Unit Price]]*Sales_Table[[#This Row],[Quantity]]</f>
        <v>84000</v>
      </c>
      <c r="P53" s="23">
        <f>Sales_Table[[#This Row],[Gross Sales]]*Sales_Table[[#This Row],[Discount %]]</f>
        <v>0</v>
      </c>
      <c r="Q53" s="23">
        <f>Sales_Table[[#This Row],[Gross Sales]]-Sales_Table[[#This Row],[Discount]]</f>
        <v>84000</v>
      </c>
      <c r="R53" s="23">
        <f>VLOOKUP(Sales_Table[[#This Row],[Product ID]],Products[],5,FALSE)*Sales_Table[[#This Row],[Quantity]]</f>
        <v>50400</v>
      </c>
      <c r="S53" s="23">
        <f>Sales_Table[[#This Row],[Net Sale]]-Sales_Table[[#This Row],[Total Cost]]</f>
        <v>33600</v>
      </c>
      <c r="T53" s="24">
        <f>Sales_Table[[#This Row],[Profit]]/Sales_Table[[#This Row],[Net Sale]]</f>
        <v>0.4</v>
      </c>
      <c r="U53" s="23" t="str">
        <f>TEXT(Sales_Table[[#This Row],[Order Date]],"mmmm-YYYY")</f>
        <v>June-2026</v>
      </c>
      <c r="V53" s="23">
        <f>YEAR(Sales_Table[[#This Row],[Month]])</f>
        <v>2026</v>
      </c>
      <c r="W53" s="23" t="str">
        <f>TEXT(Sales_Table[[#This Row],[Order Date]],"DDDD")</f>
        <v>Thursday</v>
      </c>
      <c r="X53" s="23" t="str">
        <f>IF(OR(Sales_Table[[#This Row],[Days ]]=$W$5,Sales_Table[[#This Row],[Days ]]=$W$8),"Weekned","Weekday")</f>
        <v>Weekday</v>
      </c>
      <c r="Y53" s="23" t="str">
        <f>IF(Sales_Table[[#This Row],[Order Status]]="Delivered","Y","N")</f>
        <v>Y</v>
      </c>
      <c r="Z53" s="23" t="str">
        <f>IF(Sales_Table[[#This Row],[Order Status]]="Returned","Yes","N")</f>
        <v>N</v>
      </c>
    </row>
    <row r="54" spans="1:26" ht="15.5" x14ac:dyDescent="0.35">
      <c r="A54" s="20" t="s">
        <v>96</v>
      </c>
      <c r="B54" s="21">
        <v>46205</v>
      </c>
      <c r="C54" s="20" t="s">
        <v>25</v>
      </c>
      <c r="D54" s="20" t="s">
        <v>38</v>
      </c>
      <c r="E54" s="20" t="s">
        <v>14</v>
      </c>
      <c r="F54" s="20" t="s">
        <v>15</v>
      </c>
      <c r="G54" s="20" t="s">
        <v>16</v>
      </c>
      <c r="H54" s="20" t="s">
        <v>17</v>
      </c>
      <c r="I54" s="20">
        <v>8</v>
      </c>
      <c r="J54" s="20">
        <v>35000</v>
      </c>
      <c r="K54" s="22">
        <v>0.1</v>
      </c>
      <c r="L54" s="20" t="str">
        <f>_xlfn.XLOOKUP(Sales_Table[[#This Row],[Product ID]],Products[Product ID],Products[Product Name],"N",0)</f>
        <v>Printer</v>
      </c>
      <c r="M54" s="20" t="str">
        <f>_xlfn.XLOOKUP(Sales_Table[[#This Row],[Employee ID]],Employees[Employee ID],Employees[Employee Name],"N",0)</f>
        <v>Rahul Kumar</v>
      </c>
      <c r="N54" s="20" t="str">
        <f>_xlfn.XLOOKUP(Sales_Table[[#This Row],[Customer ID]],Table22[Customer ID],Table22[Customer Name])</f>
        <v>Vertex Solutions</v>
      </c>
      <c r="O54" s="23">
        <f>Sales_Table[[#This Row],[Unit Price]]*Sales_Table[[#This Row],[Quantity]]</f>
        <v>280000</v>
      </c>
      <c r="P54" s="23">
        <f>Sales_Table[[#This Row],[Gross Sales]]*Sales_Table[[#This Row],[Discount %]]</f>
        <v>28000</v>
      </c>
      <c r="Q54" s="23">
        <f>Sales_Table[[#This Row],[Gross Sales]]-Sales_Table[[#This Row],[Discount]]</f>
        <v>252000</v>
      </c>
      <c r="R54" s="23">
        <f>VLOOKUP(Sales_Table[[#This Row],[Product ID]],Products[],5,FALSE)*Sales_Table[[#This Row],[Quantity]]</f>
        <v>216000</v>
      </c>
      <c r="S54" s="23">
        <f>Sales_Table[[#This Row],[Net Sale]]-Sales_Table[[#This Row],[Total Cost]]</f>
        <v>36000</v>
      </c>
      <c r="T54" s="24">
        <f>Sales_Table[[#This Row],[Profit]]/Sales_Table[[#This Row],[Net Sale]]</f>
        <v>0.14285714285714285</v>
      </c>
      <c r="U54" s="23" t="str">
        <f>TEXT(Sales_Table[[#This Row],[Order Date]],"mmmm-YYYY")</f>
        <v>July-2026</v>
      </c>
      <c r="V54" s="23">
        <f>YEAR(Sales_Table[[#This Row],[Month]])</f>
        <v>2026</v>
      </c>
      <c r="W54" s="23" t="str">
        <f>TEXT(Sales_Table[[#This Row],[Order Date]],"DDDD")</f>
        <v>Thursday</v>
      </c>
      <c r="X54" s="23" t="str">
        <f>IF(OR(Sales_Table[[#This Row],[Days ]]=$W$5,Sales_Table[[#This Row],[Days ]]=$W$8),"Weekned","Weekday")</f>
        <v>Weekday</v>
      </c>
      <c r="Y54" s="23" t="str">
        <f>IF(Sales_Table[[#This Row],[Order Status]]="Delivered","Y","N")</f>
        <v>Y</v>
      </c>
      <c r="Z54" s="23" t="str">
        <f>IF(Sales_Table[[#This Row],[Order Status]]="Returned","Yes","N")</f>
        <v>N</v>
      </c>
    </row>
    <row r="55" spans="1:26" ht="15.5" x14ac:dyDescent="0.35">
      <c r="A55" s="20" t="s">
        <v>97</v>
      </c>
      <c r="B55" s="21">
        <v>46208</v>
      </c>
      <c r="C55" s="20" t="s">
        <v>31</v>
      </c>
      <c r="D55" s="20" t="s">
        <v>42</v>
      </c>
      <c r="E55" s="20" t="s">
        <v>21</v>
      </c>
      <c r="F55" s="20" t="s">
        <v>22</v>
      </c>
      <c r="G55" s="20" t="s">
        <v>16</v>
      </c>
      <c r="H55" s="20" t="s">
        <v>23</v>
      </c>
      <c r="I55" s="20">
        <v>22</v>
      </c>
      <c r="J55" s="20">
        <v>8000</v>
      </c>
      <c r="K55" s="22">
        <v>0.05</v>
      </c>
      <c r="L55" s="20" t="str">
        <f>_xlfn.XLOOKUP(Sales_Table[[#This Row],[Product ID]],Products[Product ID],Products[Product Name],"N",0)</f>
        <v>Headset</v>
      </c>
      <c r="M55" s="20" t="str">
        <f>_xlfn.XLOOKUP(Sales_Table[[#This Row],[Employee ID]],Employees[Employee ID],Employees[Employee Name],"N",0)</f>
        <v>Priya Sharma</v>
      </c>
      <c r="N55" s="20" t="str">
        <f>_xlfn.XLOOKUP(Sales_Table[[#This Row],[Customer ID]],Table22[Customer ID],Table22[Customer Name])</f>
        <v>Royal Enterprises</v>
      </c>
      <c r="O55" s="23">
        <f>Sales_Table[[#This Row],[Unit Price]]*Sales_Table[[#This Row],[Quantity]]</f>
        <v>176000</v>
      </c>
      <c r="P55" s="23">
        <f>Sales_Table[[#This Row],[Gross Sales]]*Sales_Table[[#This Row],[Discount %]]</f>
        <v>8800</v>
      </c>
      <c r="Q55" s="23">
        <f>Sales_Table[[#This Row],[Gross Sales]]-Sales_Table[[#This Row],[Discount]]</f>
        <v>167200</v>
      </c>
      <c r="R55" s="23">
        <f>VLOOKUP(Sales_Table[[#This Row],[Product ID]],Products[],5,FALSE)*Sales_Table[[#This Row],[Quantity]]</f>
        <v>114400</v>
      </c>
      <c r="S55" s="23">
        <f>Sales_Table[[#This Row],[Net Sale]]-Sales_Table[[#This Row],[Total Cost]]</f>
        <v>52800</v>
      </c>
      <c r="T55" s="24">
        <f>Sales_Table[[#This Row],[Profit]]/Sales_Table[[#This Row],[Net Sale]]</f>
        <v>0.31578947368421051</v>
      </c>
      <c r="U55" s="23" t="str">
        <f>TEXT(Sales_Table[[#This Row],[Order Date]],"mmmm-YYYY")</f>
        <v>July-2026</v>
      </c>
      <c r="V55" s="23">
        <f>YEAR(Sales_Table[[#This Row],[Month]])</f>
        <v>2026</v>
      </c>
      <c r="W55" s="23" t="str">
        <f>TEXT(Sales_Table[[#This Row],[Order Date]],"DDDD")</f>
        <v>Sunday</v>
      </c>
      <c r="X55" s="23" t="str">
        <f>IF(OR(Sales_Table[[#This Row],[Days ]]=$W$5,Sales_Table[[#This Row],[Days ]]=$W$8),"Weekned","Weekday")</f>
        <v>Weekned</v>
      </c>
      <c r="Y55" s="23" t="str">
        <f>IF(Sales_Table[[#This Row],[Order Status]]="Delivered","Y","N")</f>
        <v>Y</v>
      </c>
      <c r="Z55" s="23" t="str">
        <f>IF(Sales_Table[[#This Row],[Order Status]]="Returned","Yes","N")</f>
        <v>N</v>
      </c>
    </row>
    <row r="56" spans="1:26" ht="15.5" x14ac:dyDescent="0.35">
      <c r="A56" s="20" t="s">
        <v>98</v>
      </c>
      <c r="B56" s="21">
        <v>46211</v>
      </c>
      <c r="C56" s="20" t="s">
        <v>37</v>
      </c>
      <c r="D56" s="20" t="s">
        <v>13</v>
      </c>
      <c r="E56" s="20" t="s">
        <v>27</v>
      </c>
      <c r="F56" s="20" t="s">
        <v>28</v>
      </c>
      <c r="G56" s="20" t="s">
        <v>57</v>
      </c>
      <c r="H56" s="20" t="s">
        <v>29</v>
      </c>
      <c r="I56" s="20">
        <v>5</v>
      </c>
      <c r="J56" s="20">
        <v>50000</v>
      </c>
      <c r="K56" s="22">
        <v>0.08</v>
      </c>
      <c r="L56" s="20" t="str">
        <f>_xlfn.XLOOKUP(Sales_Table[[#This Row],[Product ID]],Products[Product ID],Products[Product Name],"N",0)</f>
        <v>Laptop</v>
      </c>
      <c r="M56" s="20" t="str">
        <f>_xlfn.XLOOKUP(Sales_Table[[#This Row],[Employee ID]],Employees[Employee ID],Employees[Employee Name],"N",0)</f>
        <v>Arjun Reddy</v>
      </c>
      <c r="N56" s="20" t="str">
        <f>_xlfn.XLOOKUP(Sales_Table[[#This Row],[Customer ID]],Table22[Customer ID],Table22[Customer Name])</f>
        <v>TechNova Pvt Ltd</v>
      </c>
      <c r="O56" s="23">
        <f>Sales_Table[[#This Row],[Unit Price]]*Sales_Table[[#This Row],[Quantity]]</f>
        <v>250000</v>
      </c>
      <c r="P56" s="23">
        <f>Sales_Table[[#This Row],[Gross Sales]]*Sales_Table[[#This Row],[Discount %]]</f>
        <v>20000</v>
      </c>
      <c r="Q56" s="23">
        <f>Sales_Table[[#This Row],[Gross Sales]]-Sales_Table[[#This Row],[Discount]]</f>
        <v>230000</v>
      </c>
      <c r="R56" s="23">
        <f>VLOOKUP(Sales_Table[[#This Row],[Product ID]],Products[],5,FALSE)*Sales_Table[[#This Row],[Quantity]]</f>
        <v>195000</v>
      </c>
      <c r="S56" s="23">
        <f>Sales_Table[[#This Row],[Net Sale]]-Sales_Table[[#This Row],[Total Cost]]</f>
        <v>35000</v>
      </c>
      <c r="T56" s="24">
        <f>Sales_Table[[#This Row],[Profit]]/Sales_Table[[#This Row],[Net Sale]]</f>
        <v>0.15217391304347827</v>
      </c>
      <c r="U56" s="23" t="str">
        <f>TEXT(Sales_Table[[#This Row],[Order Date]],"mmmm-YYYY")</f>
        <v>July-2026</v>
      </c>
      <c r="V56" s="23">
        <f>YEAR(Sales_Table[[#This Row],[Month]])</f>
        <v>2026</v>
      </c>
      <c r="W56" s="23" t="str">
        <f>TEXT(Sales_Table[[#This Row],[Order Date]],"DDDD")</f>
        <v>Wednesday</v>
      </c>
      <c r="X56" s="23" t="str">
        <f>IF(OR(Sales_Table[[#This Row],[Days ]]=$W$5,Sales_Table[[#This Row],[Days ]]=$W$8),"Weekned","Weekday")</f>
        <v>Weekday</v>
      </c>
      <c r="Y56" s="23" t="str">
        <f>IF(Sales_Table[[#This Row],[Order Status]]="Delivered","Y","N")</f>
        <v>N</v>
      </c>
      <c r="Z56" s="23" t="str">
        <f>IF(Sales_Table[[#This Row],[Order Status]]="Returned","Yes","N")</f>
        <v>Yes</v>
      </c>
    </row>
    <row r="57" spans="1:26" ht="15.5" x14ac:dyDescent="0.35">
      <c r="A57" s="20" t="s">
        <v>99</v>
      </c>
      <c r="B57" s="21">
        <v>46215</v>
      </c>
      <c r="C57" s="20" t="s">
        <v>41</v>
      </c>
      <c r="D57" s="20" t="s">
        <v>20</v>
      </c>
      <c r="E57" s="20" t="s">
        <v>33</v>
      </c>
      <c r="F57" s="20" t="s">
        <v>34</v>
      </c>
      <c r="G57" s="20" t="s">
        <v>16</v>
      </c>
      <c r="H57" s="20" t="s">
        <v>17</v>
      </c>
      <c r="I57" s="20">
        <v>14</v>
      </c>
      <c r="J57" s="20">
        <v>25000</v>
      </c>
      <c r="K57" s="22">
        <v>0.12</v>
      </c>
      <c r="L57" s="20" t="str">
        <f>_xlfn.XLOOKUP(Sales_Table[[#This Row],[Product ID]],Products[Product ID],Products[Product Name],"N",0)</f>
        <v>Monitor</v>
      </c>
      <c r="M57" s="20" t="str">
        <f>_xlfn.XLOOKUP(Sales_Table[[#This Row],[Employee ID]],Employees[Employee ID],Employees[Employee Name],"N",0)</f>
        <v>Sneha Patel</v>
      </c>
      <c r="N57" s="20" t="str">
        <f>_xlfn.XLOOKUP(Sales_Table[[#This Row],[Customer ID]],Table22[Customer ID],Table22[Customer Name])</f>
        <v>Metro Computers</v>
      </c>
      <c r="O57" s="23">
        <f>Sales_Table[[#This Row],[Unit Price]]*Sales_Table[[#This Row],[Quantity]]</f>
        <v>350000</v>
      </c>
      <c r="P57" s="23">
        <f>Sales_Table[[#This Row],[Gross Sales]]*Sales_Table[[#This Row],[Discount %]]</f>
        <v>42000</v>
      </c>
      <c r="Q57" s="23">
        <f>Sales_Table[[#This Row],[Gross Sales]]-Sales_Table[[#This Row],[Discount]]</f>
        <v>308000</v>
      </c>
      <c r="R57" s="23">
        <f>VLOOKUP(Sales_Table[[#This Row],[Product ID]],Products[],5,FALSE)*Sales_Table[[#This Row],[Quantity]]</f>
        <v>266000</v>
      </c>
      <c r="S57" s="23">
        <f>Sales_Table[[#This Row],[Net Sale]]-Sales_Table[[#This Row],[Total Cost]]</f>
        <v>42000</v>
      </c>
      <c r="T57" s="24">
        <f>Sales_Table[[#This Row],[Profit]]/Sales_Table[[#This Row],[Net Sale]]</f>
        <v>0.13636363636363635</v>
      </c>
      <c r="U57" s="23" t="str">
        <f>TEXT(Sales_Table[[#This Row],[Order Date]],"mmmm-YYYY")</f>
        <v>July-2026</v>
      </c>
      <c r="V57" s="23">
        <f>YEAR(Sales_Table[[#This Row],[Month]])</f>
        <v>2026</v>
      </c>
      <c r="W57" s="23" t="str">
        <f>TEXT(Sales_Table[[#This Row],[Order Date]],"DDDD")</f>
        <v>Sunday</v>
      </c>
      <c r="X57" s="23" t="str">
        <f>IF(OR(Sales_Table[[#This Row],[Days ]]=$W$5,Sales_Table[[#This Row],[Days ]]=$W$8),"Weekned","Weekday")</f>
        <v>Weekned</v>
      </c>
      <c r="Y57" s="23" t="str">
        <f>IF(Sales_Table[[#This Row],[Order Status]]="Delivered","Y","N")</f>
        <v>Y</v>
      </c>
      <c r="Z57" s="23" t="str">
        <f>IF(Sales_Table[[#This Row],[Order Status]]="Returned","Yes","N")</f>
        <v>N</v>
      </c>
    </row>
    <row r="58" spans="1:26" ht="15.5" x14ac:dyDescent="0.35">
      <c r="A58" s="20" t="s">
        <v>100</v>
      </c>
      <c r="B58" s="21">
        <v>46218</v>
      </c>
      <c r="C58" s="20" t="s">
        <v>45</v>
      </c>
      <c r="D58" s="20" t="s">
        <v>26</v>
      </c>
      <c r="E58" s="20" t="s">
        <v>39</v>
      </c>
      <c r="F58" s="20" t="s">
        <v>15</v>
      </c>
      <c r="G58" s="20" t="s">
        <v>16</v>
      </c>
      <c r="H58" s="20" t="s">
        <v>23</v>
      </c>
      <c r="I58" s="20">
        <v>32</v>
      </c>
      <c r="J58" s="20">
        <v>5000</v>
      </c>
      <c r="K58" s="22">
        <v>0.05</v>
      </c>
      <c r="L58" s="20" t="str">
        <f>_xlfn.XLOOKUP(Sales_Table[[#This Row],[Product ID]],Products[Product ID],Products[Product Name],"N",0)</f>
        <v>Keyboard</v>
      </c>
      <c r="M58" s="20" t="str">
        <f>_xlfn.XLOOKUP(Sales_Table[[#This Row],[Employee ID]],Employees[Employee ID],Employees[Employee Name],"N",0)</f>
        <v>Kiran Rao</v>
      </c>
      <c r="N58" s="20" t="str">
        <f>_xlfn.XLOOKUP(Sales_Table[[#This Row],[Customer ID]],Table22[Customer ID],Table22[Customer Name])</f>
        <v>Future Systems</v>
      </c>
      <c r="O58" s="23">
        <f>Sales_Table[[#This Row],[Unit Price]]*Sales_Table[[#This Row],[Quantity]]</f>
        <v>160000</v>
      </c>
      <c r="P58" s="23">
        <f>Sales_Table[[#This Row],[Gross Sales]]*Sales_Table[[#This Row],[Discount %]]</f>
        <v>8000</v>
      </c>
      <c r="Q58" s="23">
        <f>Sales_Table[[#This Row],[Gross Sales]]-Sales_Table[[#This Row],[Discount]]</f>
        <v>152000</v>
      </c>
      <c r="R58" s="23">
        <f>VLOOKUP(Sales_Table[[#This Row],[Product ID]],Products[],5,FALSE)*Sales_Table[[#This Row],[Quantity]]</f>
        <v>112000</v>
      </c>
      <c r="S58" s="23">
        <f>Sales_Table[[#This Row],[Net Sale]]-Sales_Table[[#This Row],[Total Cost]]</f>
        <v>40000</v>
      </c>
      <c r="T58" s="24">
        <f>Sales_Table[[#This Row],[Profit]]/Sales_Table[[#This Row],[Net Sale]]</f>
        <v>0.26315789473684209</v>
      </c>
      <c r="U58" s="23" t="str">
        <f>TEXT(Sales_Table[[#This Row],[Order Date]],"mmmm-YYYY")</f>
        <v>July-2026</v>
      </c>
      <c r="V58" s="23">
        <f>YEAR(Sales_Table[[#This Row],[Month]])</f>
        <v>2026</v>
      </c>
      <c r="W58" s="23" t="str">
        <f>TEXT(Sales_Table[[#This Row],[Order Date]],"DDDD")</f>
        <v>Wednesday</v>
      </c>
      <c r="X58" s="23" t="str">
        <f>IF(OR(Sales_Table[[#This Row],[Days ]]=$W$5,Sales_Table[[#This Row],[Days ]]=$W$8),"Weekned","Weekday")</f>
        <v>Weekday</v>
      </c>
      <c r="Y58" s="23" t="str">
        <f>IF(Sales_Table[[#This Row],[Order Status]]="Delivered","Y","N")</f>
        <v>Y</v>
      </c>
      <c r="Z58" s="23" t="str">
        <f>IF(Sales_Table[[#This Row],[Order Status]]="Returned","Yes","N")</f>
        <v>N</v>
      </c>
    </row>
    <row r="59" spans="1:26" ht="15.5" x14ac:dyDescent="0.35">
      <c r="A59" s="20" t="s">
        <v>101</v>
      </c>
      <c r="B59" s="21">
        <v>46221</v>
      </c>
      <c r="C59" s="20" t="s">
        <v>47</v>
      </c>
      <c r="D59" s="20" t="s">
        <v>32</v>
      </c>
      <c r="E59" s="20" t="s">
        <v>43</v>
      </c>
      <c r="F59" s="20" t="s">
        <v>22</v>
      </c>
      <c r="G59" s="20" t="s">
        <v>16</v>
      </c>
      <c r="H59" s="20" t="s">
        <v>35</v>
      </c>
      <c r="I59" s="20">
        <v>40</v>
      </c>
      <c r="J59" s="20">
        <v>2000</v>
      </c>
      <c r="K59" s="22">
        <v>0</v>
      </c>
      <c r="L59" s="20" t="str">
        <f>_xlfn.XLOOKUP(Sales_Table[[#This Row],[Product ID]],Products[Product ID],Products[Product Name],"N",0)</f>
        <v>Mouse</v>
      </c>
      <c r="M59" s="20" t="str">
        <f>_xlfn.XLOOKUP(Sales_Table[[#This Row],[Employee ID]],Employees[Employee ID],Employees[Employee Name],"N",0)</f>
        <v>Anjali Singh</v>
      </c>
      <c r="N59" s="20" t="str">
        <f>_xlfn.XLOOKUP(Sales_Table[[#This Row],[Customer ID]],Table22[Customer ID],Table22[Customer Name])</f>
        <v>Prime Digital</v>
      </c>
      <c r="O59" s="23">
        <f>Sales_Table[[#This Row],[Unit Price]]*Sales_Table[[#This Row],[Quantity]]</f>
        <v>80000</v>
      </c>
      <c r="P59" s="23">
        <f>Sales_Table[[#This Row],[Gross Sales]]*Sales_Table[[#This Row],[Discount %]]</f>
        <v>0</v>
      </c>
      <c r="Q59" s="23">
        <f>Sales_Table[[#This Row],[Gross Sales]]-Sales_Table[[#This Row],[Discount]]</f>
        <v>80000</v>
      </c>
      <c r="R59" s="23">
        <f>VLOOKUP(Sales_Table[[#This Row],[Product ID]],Products[],5,FALSE)*Sales_Table[[#This Row],[Quantity]]</f>
        <v>48000</v>
      </c>
      <c r="S59" s="23">
        <f>Sales_Table[[#This Row],[Net Sale]]-Sales_Table[[#This Row],[Total Cost]]</f>
        <v>32000</v>
      </c>
      <c r="T59" s="24">
        <f>Sales_Table[[#This Row],[Profit]]/Sales_Table[[#This Row],[Net Sale]]</f>
        <v>0.4</v>
      </c>
      <c r="U59" s="23" t="str">
        <f>TEXT(Sales_Table[[#This Row],[Order Date]],"mmmm-YYYY")</f>
        <v>July-2026</v>
      </c>
      <c r="V59" s="23">
        <f>YEAR(Sales_Table[[#This Row],[Month]])</f>
        <v>2026</v>
      </c>
      <c r="W59" s="23" t="str">
        <f>TEXT(Sales_Table[[#This Row],[Order Date]],"DDDD")</f>
        <v>Saturday</v>
      </c>
      <c r="X59" s="23" t="str">
        <f>IF(OR(Sales_Table[[#This Row],[Days ]]=$W$5,Sales_Table[[#This Row],[Days ]]=$W$8),"Weekned","Weekday")</f>
        <v>Weekned</v>
      </c>
      <c r="Y59" s="23" t="str">
        <f>IF(Sales_Table[[#This Row],[Order Status]]="Delivered","Y","N")</f>
        <v>Y</v>
      </c>
      <c r="Z59" s="23" t="str">
        <f>IF(Sales_Table[[#This Row],[Order Status]]="Returned","Yes","N")</f>
        <v>N</v>
      </c>
    </row>
    <row r="60" spans="1:26" ht="15.5" x14ac:dyDescent="0.35">
      <c r="A60" s="20" t="s">
        <v>102</v>
      </c>
      <c r="B60" s="21">
        <v>46225</v>
      </c>
      <c r="C60" s="20" t="s">
        <v>49</v>
      </c>
      <c r="D60" s="20" t="s">
        <v>38</v>
      </c>
      <c r="E60" s="20" t="s">
        <v>14</v>
      </c>
      <c r="F60" s="20" t="s">
        <v>28</v>
      </c>
      <c r="G60" s="20" t="s">
        <v>16</v>
      </c>
      <c r="H60" s="20" t="s">
        <v>29</v>
      </c>
      <c r="I60" s="20">
        <v>9</v>
      </c>
      <c r="J60" s="20">
        <v>35000</v>
      </c>
      <c r="K60" s="22">
        <v>0.1</v>
      </c>
      <c r="L60" s="20" t="str">
        <f>_xlfn.XLOOKUP(Sales_Table[[#This Row],[Product ID]],Products[Product ID],Products[Product Name],"N",0)</f>
        <v>Printer</v>
      </c>
      <c r="M60" s="20" t="str">
        <f>_xlfn.XLOOKUP(Sales_Table[[#This Row],[Employee ID]],Employees[Employee ID],Employees[Employee Name],"N",0)</f>
        <v>Rahul Kumar</v>
      </c>
      <c r="N60" s="20" t="str">
        <f>_xlfn.XLOOKUP(Sales_Table[[#This Row],[Customer ID]],Table22[Customer ID],Table22[Customer Name])</f>
        <v>Smart World</v>
      </c>
      <c r="O60" s="23">
        <f>Sales_Table[[#This Row],[Unit Price]]*Sales_Table[[#This Row],[Quantity]]</f>
        <v>315000</v>
      </c>
      <c r="P60" s="23">
        <f>Sales_Table[[#This Row],[Gross Sales]]*Sales_Table[[#This Row],[Discount %]]</f>
        <v>31500</v>
      </c>
      <c r="Q60" s="23">
        <f>Sales_Table[[#This Row],[Gross Sales]]-Sales_Table[[#This Row],[Discount]]</f>
        <v>283500</v>
      </c>
      <c r="R60" s="23">
        <f>VLOOKUP(Sales_Table[[#This Row],[Product ID]],Products[],5,FALSE)*Sales_Table[[#This Row],[Quantity]]</f>
        <v>243000</v>
      </c>
      <c r="S60" s="23">
        <f>Sales_Table[[#This Row],[Net Sale]]-Sales_Table[[#This Row],[Total Cost]]</f>
        <v>40500</v>
      </c>
      <c r="T60" s="24">
        <f>Sales_Table[[#This Row],[Profit]]/Sales_Table[[#This Row],[Net Sale]]</f>
        <v>0.14285714285714285</v>
      </c>
      <c r="U60" s="23" t="str">
        <f>TEXT(Sales_Table[[#This Row],[Order Date]],"mmmm-YYYY")</f>
        <v>July-2026</v>
      </c>
      <c r="V60" s="23">
        <f>YEAR(Sales_Table[[#This Row],[Month]])</f>
        <v>2026</v>
      </c>
      <c r="W60" s="23" t="str">
        <f>TEXT(Sales_Table[[#This Row],[Order Date]],"DDDD")</f>
        <v>Wednesday</v>
      </c>
      <c r="X60" s="23" t="str">
        <f>IF(OR(Sales_Table[[#This Row],[Days ]]=$W$5,Sales_Table[[#This Row],[Days ]]=$W$8),"Weekned","Weekday")</f>
        <v>Weekday</v>
      </c>
      <c r="Y60" s="23" t="str">
        <f>IF(Sales_Table[[#This Row],[Order Status]]="Delivered","Y","N")</f>
        <v>Y</v>
      </c>
      <c r="Z60" s="23" t="str">
        <f>IF(Sales_Table[[#This Row],[Order Status]]="Returned","Yes","N")</f>
        <v>N</v>
      </c>
    </row>
    <row r="61" spans="1:26" ht="15.5" x14ac:dyDescent="0.35">
      <c r="A61" s="20" t="s">
        <v>103</v>
      </c>
      <c r="B61" s="21">
        <v>46228</v>
      </c>
      <c r="C61" s="20" t="s">
        <v>51</v>
      </c>
      <c r="D61" s="20" t="s">
        <v>42</v>
      </c>
      <c r="E61" s="20" t="s">
        <v>21</v>
      </c>
      <c r="F61" s="20" t="s">
        <v>34</v>
      </c>
      <c r="G61" s="20" t="s">
        <v>16</v>
      </c>
      <c r="H61" s="20" t="s">
        <v>17</v>
      </c>
      <c r="I61" s="20">
        <v>19</v>
      </c>
      <c r="J61" s="20">
        <v>8000</v>
      </c>
      <c r="K61" s="22">
        <v>0.05</v>
      </c>
      <c r="L61" s="20" t="str">
        <f>_xlfn.XLOOKUP(Sales_Table[[#This Row],[Product ID]],Products[Product ID],Products[Product Name],"N",0)</f>
        <v>Headset</v>
      </c>
      <c r="M61" s="20" t="str">
        <f>_xlfn.XLOOKUP(Sales_Table[[#This Row],[Employee ID]],Employees[Employee ID],Employees[Employee Name],"N",0)</f>
        <v>Priya Sharma</v>
      </c>
      <c r="N61" s="20" t="str">
        <f>_xlfn.XLOOKUP(Sales_Table[[#This Row],[Customer ID]],Table22[Customer ID],Table22[Customer Name])</f>
        <v>NextGen Solutions</v>
      </c>
      <c r="O61" s="23">
        <f>Sales_Table[[#This Row],[Unit Price]]*Sales_Table[[#This Row],[Quantity]]</f>
        <v>152000</v>
      </c>
      <c r="P61" s="23">
        <f>Sales_Table[[#This Row],[Gross Sales]]*Sales_Table[[#This Row],[Discount %]]</f>
        <v>7600</v>
      </c>
      <c r="Q61" s="23">
        <f>Sales_Table[[#This Row],[Gross Sales]]-Sales_Table[[#This Row],[Discount]]</f>
        <v>144400</v>
      </c>
      <c r="R61" s="23">
        <f>VLOOKUP(Sales_Table[[#This Row],[Product ID]],Products[],5,FALSE)*Sales_Table[[#This Row],[Quantity]]</f>
        <v>98800</v>
      </c>
      <c r="S61" s="23">
        <f>Sales_Table[[#This Row],[Net Sale]]-Sales_Table[[#This Row],[Total Cost]]</f>
        <v>45600</v>
      </c>
      <c r="T61" s="24">
        <f>Sales_Table[[#This Row],[Profit]]/Sales_Table[[#This Row],[Net Sale]]</f>
        <v>0.31578947368421051</v>
      </c>
      <c r="U61" s="23" t="str">
        <f>TEXT(Sales_Table[[#This Row],[Order Date]],"mmmm-YYYY")</f>
        <v>July-2026</v>
      </c>
      <c r="V61" s="23">
        <f>YEAR(Sales_Table[[#This Row],[Month]])</f>
        <v>2026</v>
      </c>
      <c r="W61" s="23" t="str">
        <f>TEXT(Sales_Table[[#This Row],[Order Date]],"DDDD")</f>
        <v>Saturday</v>
      </c>
      <c r="X61" s="23" t="str">
        <f>IF(OR(Sales_Table[[#This Row],[Days ]]=$W$5,Sales_Table[[#This Row],[Days ]]=$W$8),"Weekned","Weekday")</f>
        <v>Weekned</v>
      </c>
      <c r="Y61" s="23" t="str">
        <f>IF(Sales_Table[[#This Row],[Order Status]]="Delivered","Y","N")</f>
        <v>Y</v>
      </c>
      <c r="Z61" s="23" t="str">
        <f>IF(Sales_Table[[#This Row],[Order Status]]="Returned","Yes","N")</f>
        <v>N</v>
      </c>
    </row>
    <row r="62" spans="1:26" ht="15.5" x14ac:dyDescent="0.35">
      <c r="A62" s="20" t="s">
        <v>104</v>
      </c>
      <c r="B62" s="21">
        <v>46236</v>
      </c>
      <c r="C62" s="20" t="s">
        <v>12</v>
      </c>
      <c r="D62" s="20" t="s">
        <v>13</v>
      </c>
      <c r="E62" s="20" t="s">
        <v>27</v>
      </c>
      <c r="F62" s="20" t="s">
        <v>15</v>
      </c>
      <c r="G62" s="20" t="s">
        <v>16</v>
      </c>
      <c r="H62" s="20" t="s">
        <v>23</v>
      </c>
      <c r="I62" s="20">
        <v>7</v>
      </c>
      <c r="J62" s="20">
        <v>50000</v>
      </c>
      <c r="K62" s="22">
        <v>0.1</v>
      </c>
      <c r="L62" s="20" t="str">
        <f>_xlfn.XLOOKUP(Sales_Table[[#This Row],[Product ID]],Products[Product ID],Products[Product Name],"N",0)</f>
        <v>Laptop</v>
      </c>
      <c r="M62" s="20" t="str">
        <f>_xlfn.XLOOKUP(Sales_Table[[#This Row],[Employee ID]],Employees[Employee ID],Employees[Employee Name],"N",0)</f>
        <v>Arjun Reddy</v>
      </c>
      <c r="N62" s="20" t="str">
        <f>_xlfn.XLOOKUP(Sales_Table[[#This Row],[Customer ID]],Table22[Customer ID],Table22[Customer Name])</f>
        <v>ABC Technologies</v>
      </c>
      <c r="O62" s="23">
        <f>Sales_Table[[#This Row],[Unit Price]]*Sales_Table[[#This Row],[Quantity]]</f>
        <v>350000</v>
      </c>
      <c r="P62" s="23">
        <f>Sales_Table[[#This Row],[Gross Sales]]*Sales_Table[[#This Row],[Discount %]]</f>
        <v>35000</v>
      </c>
      <c r="Q62" s="23">
        <f>Sales_Table[[#This Row],[Gross Sales]]-Sales_Table[[#This Row],[Discount]]</f>
        <v>315000</v>
      </c>
      <c r="R62" s="23">
        <f>VLOOKUP(Sales_Table[[#This Row],[Product ID]],Products[],5,FALSE)*Sales_Table[[#This Row],[Quantity]]</f>
        <v>273000</v>
      </c>
      <c r="S62" s="23">
        <f>Sales_Table[[#This Row],[Net Sale]]-Sales_Table[[#This Row],[Total Cost]]</f>
        <v>42000</v>
      </c>
      <c r="T62" s="24">
        <f>Sales_Table[[#This Row],[Profit]]/Sales_Table[[#This Row],[Net Sale]]</f>
        <v>0.13333333333333333</v>
      </c>
      <c r="U62" s="23" t="str">
        <f>TEXT(Sales_Table[[#This Row],[Order Date]],"mmmm-YYYY")</f>
        <v>August-2026</v>
      </c>
      <c r="V62" s="23">
        <f>YEAR(Sales_Table[[#This Row],[Month]])</f>
        <v>2026</v>
      </c>
      <c r="W62" s="23" t="str">
        <f>TEXT(Sales_Table[[#This Row],[Order Date]],"DDDD")</f>
        <v>Sunday</v>
      </c>
      <c r="X62" s="23" t="str">
        <f>IF(OR(Sales_Table[[#This Row],[Days ]]=$W$5,Sales_Table[[#This Row],[Days ]]=$W$8),"Weekned","Weekday")</f>
        <v>Weekned</v>
      </c>
      <c r="Y62" s="23" t="str">
        <f>IF(Sales_Table[[#This Row],[Order Status]]="Delivered","Y","N")</f>
        <v>Y</v>
      </c>
      <c r="Z62" s="23" t="str">
        <f>IF(Sales_Table[[#This Row],[Order Status]]="Returned","Yes","N")</f>
        <v>N</v>
      </c>
    </row>
    <row r="63" spans="1:26" ht="15.5" x14ac:dyDescent="0.35">
      <c r="A63" s="20" t="s">
        <v>105</v>
      </c>
      <c r="B63" s="21">
        <v>46239</v>
      </c>
      <c r="C63" s="20" t="s">
        <v>19</v>
      </c>
      <c r="D63" s="20" t="s">
        <v>20</v>
      </c>
      <c r="E63" s="20" t="s">
        <v>33</v>
      </c>
      <c r="F63" s="20" t="s">
        <v>22</v>
      </c>
      <c r="G63" s="20" t="s">
        <v>16</v>
      </c>
      <c r="H63" s="20" t="s">
        <v>29</v>
      </c>
      <c r="I63" s="20">
        <v>17</v>
      </c>
      <c r="J63" s="20">
        <v>25000</v>
      </c>
      <c r="K63" s="22">
        <v>0.15</v>
      </c>
      <c r="L63" s="20" t="str">
        <f>_xlfn.XLOOKUP(Sales_Table[[#This Row],[Product ID]],Products[Product ID],Products[Product Name],"N",0)</f>
        <v>Monitor</v>
      </c>
      <c r="M63" s="20" t="str">
        <f>_xlfn.XLOOKUP(Sales_Table[[#This Row],[Employee ID]],Employees[Employee ID],Employees[Employee Name],"N",0)</f>
        <v>Sneha Patel</v>
      </c>
      <c r="N63" s="20" t="str">
        <f>_xlfn.XLOOKUP(Sales_Table[[#This Row],[Customer ID]],Table22[Customer ID],Table22[Customer Name])</f>
        <v>Sri Lakshmi Traders</v>
      </c>
      <c r="O63" s="23">
        <f>Sales_Table[[#This Row],[Unit Price]]*Sales_Table[[#This Row],[Quantity]]</f>
        <v>425000</v>
      </c>
      <c r="P63" s="23">
        <f>Sales_Table[[#This Row],[Gross Sales]]*Sales_Table[[#This Row],[Discount %]]</f>
        <v>63750</v>
      </c>
      <c r="Q63" s="23">
        <f>Sales_Table[[#This Row],[Gross Sales]]-Sales_Table[[#This Row],[Discount]]</f>
        <v>361250</v>
      </c>
      <c r="R63" s="23">
        <f>VLOOKUP(Sales_Table[[#This Row],[Product ID]],Products[],5,FALSE)*Sales_Table[[#This Row],[Quantity]]</f>
        <v>323000</v>
      </c>
      <c r="S63" s="23">
        <f>Sales_Table[[#This Row],[Net Sale]]-Sales_Table[[#This Row],[Total Cost]]</f>
        <v>38250</v>
      </c>
      <c r="T63" s="24">
        <f>Sales_Table[[#This Row],[Profit]]/Sales_Table[[#This Row],[Net Sale]]</f>
        <v>0.10588235294117647</v>
      </c>
      <c r="U63" s="23" t="str">
        <f>TEXT(Sales_Table[[#This Row],[Order Date]],"mmmm-YYYY")</f>
        <v>August-2026</v>
      </c>
      <c r="V63" s="23">
        <f>YEAR(Sales_Table[[#This Row],[Month]])</f>
        <v>2026</v>
      </c>
      <c r="W63" s="23" t="str">
        <f>TEXT(Sales_Table[[#This Row],[Order Date]],"DDDD")</f>
        <v>Wednesday</v>
      </c>
      <c r="X63" s="23" t="str">
        <f>IF(OR(Sales_Table[[#This Row],[Days ]]=$W$5,Sales_Table[[#This Row],[Days ]]=$W$8),"Weekned","Weekday")</f>
        <v>Weekday</v>
      </c>
      <c r="Y63" s="23" t="str">
        <f>IF(Sales_Table[[#This Row],[Order Status]]="Delivered","Y","N")</f>
        <v>Y</v>
      </c>
      <c r="Z63" s="23" t="str">
        <f>IF(Sales_Table[[#This Row],[Order Status]]="Returned","Yes","N")</f>
        <v>N</v>
      </c>
    </row>
    <row r="64" spans="1:26" ht="15.5" x14ac:dyDescent="0.35">
      <c r="A64" s="20" t="s">
        <v>106</v>
      </c>
      <c r="B64" s="21">
        <v>46242</v>
      </c>
      <c r="C64" s="20" t="s">
        <v>25</v>
      </c>
      <c r="D64" s="20" t="s">
        <v>26</v>
      </c>
      <c r="E64" s="20" t="s">
        <v>39</v>
      </c>
      <c r="F64" s="20" t="s">
        <v>28</v>
      </c>
      <c r="G64" s="20" t="s">
        <v>16</v>
      </c>
      <c r="H64" s="20" t="s">
        <v>17</v>
      </c>
      <c r="I64" s="20">
        <v>28</v>
      </c>
      <c r="J64" s="20">
        <v>5000</v>
      </c>
      <c r="K64" s="22">
        <v>0.05</v>
      </c>
      <c r="L64" s="20" t="str">
        <f>_xlfn.XLOOKUP(Sales_Table[[#This Row],[Product ID]],Products[Product ID],Products[Product Name],"N",0)</f>
        <v>Keyboard</v>
      </c>
      <c r="M64" s="20" t="str">
        <f>_xlfn.XLOOKUP(Sales_Table[[#This Row],[Employee ID]],Employees[Employee ID],Employees[Employee Name],"N",0)</f>
        <v>Kiran Rao</v>
      </c>
      <c r="N64" s="20" t="str">
        <f>_xlfn.XLOOKUP(Sales_Table[[#This Row],[Customer ID]],Table22[Customer ID],Table22[Customer Name])</f>
        <v>Vertex Solutions</v>
      </c>
      <c r="O64" s="23">
        <f>Sales_Table[[#This Row],[Unit Price]]*Sales_Table[[#This Row],[Quantity]]</f>
        <v>140000</v>
      </c>
      <c r="P64" s="23">
        <f>Sales_Table[[#This Row],[Gross Sales]]*Sales_Table[[#This Row],[Discount %]]</f>
        <v>7000</v>
      </c>
      <c r="Q64" s="23">
        <f>Sales_Table[[#This Row],[Gross Sales]]-Sales_Table[[#This Row],[Discount]]</f>
        <v>133000</v>
      </c>
      <c r="R64" s="23">
        <f>VLOOKUP(Sales_Table[[#This Row],[Product ID]],Products[],5,FALSE)*Sales_Table[[#This Row],[Quantity]]</f>
        <v>98000</v>
      </c>
      <c r="S64" s="23">
        <f>Sales_Table[[#This Row],[Net Sale]]-Sales_Table[[#This Row],[Total Cost]]</f>
        <v>35000</v>
      </c>
      <c r="T64" s="24">
        <f>Sales_Table[[#This Row],[Profit]]/Sales_Table[[#This Row],[Net Sale]]</f>
        <v>0.26315789473684209</v>
      </c>
      <c r="U64" s="23" t="str">
        <f>TEXT(Sales_Table[[#This Row],[Order Date]],"mmmm-YYYY")</f>
        <v>August-2026</v>
      </c>
      <c r="V64" s="23">
        <f>YEAR(Sales_Table[[#This Row],[Month]])</f>
        <v>2026</v>
      </c>
      <c r="W64" s="23" t="str">
        <f>TEXT(Sales_Table[[#This Row],[Order Date]],"DDDD")</f>
        <v>Saturday</v>
      </c>
      <c r="X64" s="23" t="str">
        <f>IF(OR(Sales_Table[[#This Row],[Days ]]=$W$5,Sales_Table[[#This Row],[Days ]]=$W$8),"Weekned","Weekday")</f>
        <v>Weekned</v>
      </c>
      <c r="Y64" s="23" t="str">
        <f>IF(Sales_Table[[#This Row],[Order Status]]="Delivered","Y","N")</f>
        <v>Y</v>
      </c>
      <c r="Z64" s="23" t="str">
        <f>IF(Sales_Table[[#This Row],[Order Status]]="Returned","Yes","N")</f>
        <v>N</v>
      </c>
    </row>
    <row r="65" spans="1:26" ht="15.5" x14ac:dyDescent="0.35">
      <c r="A65" s="20" t="s">
        <v>107</v>
      </c>
      <c r="B65" s="21">
        <v>46246</v>
      </c>
      <c r="C65" s="20" t="s">
        <v>31</v>
      </c>
      <c r="D65" s="20" t="s">
        <v>32</v>
      </c>
      <c r="E65" s="20" t="s">
        <v>43</v>
      </c>
      <c r="F65" s="20" t="s">
        <v>34</v>
      </c>
      <c r="G65" s="20" t="s">
        <v>16</v>
      </c>
      <c r="H65" s="20" t="s">
        <v>35</v>
      </c>
      <c r="I65" s="20">
        <v>50</v>
      </c>
      <c r="J65" s="20">
        <v>2000</v>
      </c>
      <c r="K65" s="22">
        <v>0</v>
      </c>
      <c r="L65" s="20" t="str">
        <f>_xlfn.XLOOKUP(Sales_Table[[#This Row],[Product ID]],Products[Product ID],Products[Product Name],"N",0)</f>
        <v>Mouse</v>
      </c>
      <c r="M65" s="20" t="str">
        <f>_xlfn.XLOOKUP(Sales_Table[[#This Row],[Employee ID]],Employees[Employee ID],Employees[Employee Name],"N",0)</f>
        <v>Anjali Singh</v>
      </c>
      <c r="N65" s="20" t="str">
        <f>_xlfn.XLOOKUP(Sales_Table[[#This Row],[Customer ID]],Table22[Customer ID],Table22[Customer Name])</f>
        <v>Royal Enterprises</v>
      </c>
      <c r="O65" s="23">
        <f>Sales_Table[[#This Row],[Unit Price]]*Sales_Table[[#This Row],[Quantity]]</f>
        <v>100000</v>
      </c>
      <c r="P65" s="23">
        <f>Sales_Table[[#This Row],[Gross Sales]]*Sales_Table[[#This Row],[Discount %]]</f>
        <v>0</v>
      </c>
      <c r="Q65" s="23">
        <f>Sales_Table[[#This Row],[Gross Sales]]-Sales_Table[[#This Row],[Discount]]</f>
        <v>100000</v>
      </c>
      <c r="R65" s="23">
        <f>VLOOKUP(Sales_Table[[#This Row],[Product ID]],Products[],5,FALSE)*Sales_Table[[#This Row],[Quantity]]</f>
        <v>60000</v>
      </c>
      <c r="S65" s="23">
        <f>Sales_Table[[#This Row],[Net Sale]]-Sales_Table[[#This Row],[Total Cost]]</f>
        <v>40000</v>
      </c>
      <c r="T65" s="24">
        <f>Sales_Table[[#This Row],[Profit]]/Sales_Table[[#This Row],[Net Sale]]</f>
        <v>0.4</v>
      </c>
      <c r="U65" s="23" t="str">
        <f>TEXT(Sales_Table[[#This Row],[Order Date]],"mmmm-YYYY")</f>
        <v>August-2026</v>
      </c>
      <c r="V65" s="23">
        <f>YEAR(Sales_Table[[#This Row],[Month]])</f>
        <v>2026</v>
      </c>
      <c r="W65" s="23" t="str">
        <f>TEXT(Sales_Table[[#This Row],[Order Date]],"DDDD")</f>
        <v>Wednesday</v>
      </c>
      <c r="X65" s="23" t="str">
        <f>IF(OR(Sales_Table[[#This Row],[Days ]]=$W$5,Sales_Table[[#This Row],[Days ]]=$W$8),"Weekned","Weekday")</f>
        <v>Weekday</v>
      </c>
      <c r="Y65" s="23" t="str">
        <f>IF(Sales_Table[[#This Row],[Order Status]]="Delivered","Y","N")</f>
        <v>Y</v>
      </c>
      <c r="Z65" s="23" t="str">
        <f>IF(Sales_Table[[#This Row],[Order Status]]="Returned","Yes","N")</f>
        <v>N</v>
      </c>
    </row>
    <row r="66" spans="1:26" ht="15.5" x14ac:dyDescent="0.35">
      <c r="A66" s="20" t="s">
        <v>108</v>
      </c>
      <c r="B66" s="21">
        <v>46249</v>
      </c>
      <c r="C66" s="20" t="s">
        <v>37</v>
      </c>
      <c r="D66" s="20" t="s">
        <v>38</v>
      </c>
      <c r="E66" s="20" t="s">
        <v>14</v>
      </c>
      <c r="F66" s="20" t="s">
        <v>15</v>
      </c>
      <c r="G66" s="20" t="s">
        <v>16</v>
      </c>
      <c r="H66" s="20" t="s">
        <v>17</v>
      </c>
      <c r="I66" s="20">
        <v>8</v>
      </c>
      <c r="J66" s="20">
        <v>35000</v>
      </c>
      <c r="K66" s="22">
        <v>0.08</v>
      </c>
      <c r="L66" s="20" t="str">
        <f>_xlfn.XLOOKUP(Sales_Table[[#This Row],[Product ID]],Products[Product ID],Products[Product Name],"N",0)</f>
        <v>Printer</v>
      </c>
      <c r="M66" s="20" t="str">
        <f>_xlfn.XLOOKUP(Sales_Table[[#This Row],[Employee ID]],Employees[Employee ID],Employees[Employee Name],"N",0)</f>
        <v>Rahul Kumar</v>
      </c>
      <c r="N66" s="20" t="str">
        <f>_xlfn.XLOOKUP(Sales_Table[[#This Row],[Customer ID]],Table22[Customer ID],Table22[Customer Name])</f>
        <v>TechNova Pvt Ltd</v>
      </c>
      <c r="O66" s="23">
        <f>Sales_Table[[#This Row],[Unit Price]]*Sales_Table[[#This Row],[Quantity]]</f>
        <v>280000</v>
      </c>
      <c r="P66" s="23">
        <f>Sales_Table[[#This Row],[Gross Sales]]*Sales_Table[[#This Row],[Discount %]]</f>
        <v>22400</v>
      </c>
      <c r="Q66" s="23">
        <f>Sales_Table[[#This Row],[Gross Sales]]-Sales_Table[[#This Row],[Discount]]</f>
        <v>257600</v>
      </c>
      <c r="R66" s="23">
        <f>VLOOKUP(Sales_Table[[#This Row],[Product ID]],Products[],5,FALSE)*Sales_Table[[#This Row],[Quantity]]</f>
        <v>216000</v>
      </c>
      <c r="S66" s="23">
        <f>Sales_Table[[#This Row],[Net Sale]]-Sales_Table[[#This Row],[Total Cost]]</f>
        <v>41600</v>
      </c>
      <c r="T66" s="24">
        <f>Sales_Table[[#This Row],[Profit]]/Sales_Table[[#This Row],[Net Sale]]</f>
        <v>0.16149068322981366</v>
      </c>
      <c r="U66" s="23" t="str">
        <f>TEXT(Sales_Table[[#This Row],[Order Date]],"mmmm-YYYY")</f>
        <v>August-2026</v>
      </c>
      <c r="V66" s="23">
        <f>YEAR(Sales_Table[[#This Row],[Month]])</f>
        <v>2026</v>
      </c>
      <c r="W66" s="23" t="str">
        <f>TEXT(Sales_Table[[#This Row],[Order Date]],"DDDD")</f>
        <v>Saturday</v>
      </c>
      <c r="X66" s="23" t="str">
        <f>IF(OR(Sales_Table[[#This Row],[Days ]]=$W$5,Sales_Table[[#This Row],[Days ]]=$W$8),"Weekned","Weekday")</f>
        <v>Weekned</v>
      </c>
      <c r="Y66" s="23" t="str">
        <f>IF(Sales_Table[[#This Row],[Order Status]]="Delivered","Y","N")</f>
        <v>Y</v>
      </c>
      <c r="Z66" s="23" t="str">
        <f>IF(Sales_Table[[#This Row],[Order Status]]="Returned","Yes","N")</f>
        <v>N</v>
      </c>
    </row>
    <row r="67" spans="1:26" ht="15.5" x14ac:dyDescent="0.35">
      <c r="A67" s="20" t="s">
        <v>109</v>
      </c>
      <c r="B67" s="21">
        <v>46252</v>
      </c>
      <c r="C67" s="20" t="s">
        <v>41</v>
      </c>
      <c r="D67" s="20" t="s">
        <v>42</v>
      </c>
      <c r="E67" s="20" t="s">
        <v>21</v>
      </c>
      <c r="F67" s="20" t="s">
        <v>22</v>
      </c>
      <c r="G67" s="20" t="s">
        <v>16</v>
      </c>
      <c r="H67" s="20" t="s">
        <v>23</v>
      </c>
      <c r="I67" s="20">
        <v>21</v>
      </c>
      <c r="J67" s="20">
        <v>8000</v>
      </c>
      <c r="K67" s="22">
        <v>0.05</v>
      </c>
      <c r="L67" s="20" t="str">
        <f>_xlfn.XLOOKUP(Sales_Table[[#This Row],[Product ID]],Products[Product ID],Products[Product Name],"N",0)</f>
        <v>Headset</v>
      </c>
      <c r="M67" s="20" t="str">
        <f>_xlfn.XLOOKUP(Sales_Table[[#This Row],[Employee ID]],Employees[Employee ID],Employees[Employee Name],"N",0)</f>
        <v>Priya Sharma</v>
      </c>
      <c r="N67" s="20" t="str">
        <f>_xlfn.XLOOKUP(Sales_Table[[#This Row],[Customer ID]],Table22[Customer ID],Table22[Customer Name])</f>
        <v>Metro Computers</v>
      </c>
      <c r="O67" s="23">
        <f>Sales_Table[[#This Row],[Unit Price]]*Sales_Table[[#This Row],[Quantity]]</f>
        <v>168000</v>
      </c>
      <c r="P67" s="23">
        <f>Sales_Table[[#This Row],[Gross Sales]]*Sales_Table[[#This Row],[Discount %]]</f>
        <v>8400</v>
      </c>
      <c r="Q67" s="23">
        <f>Sales_Table[[#This Row],[Gross Sales]]-Sales_Table[[#This Row],[Discount]]</f>
        <v>159600</v>
      </c>
      <c r="R67" s="23">
        <f>VLOOKUP(Sales_Table[[#This Row],[Product ID]],Products[],5,FALSE)*Sales_Table[[#This Row],[Quantity]]</f>
        <v>109200</v>
      </c>
      <c r="S67" s="23">
        <f>Sales_Table[[#This Row],[Net Sale]]-Sales_Table[[#This Row],[Total Cost]]</f>
        <v>50400</v>
      </c>
      <c r="T67" s="24">
        <f>Sales_Table[[#This Row],[Profit]]/Sales_Table[[#This Row],[Net Sale]]</f>
        <v>0.31578947368421051</v>
      </c>
      <c r="U67" s="23" t="str">
        <f>TEXT(Sales_Table[[#This Row],[Order Date]],"mmmm-YYYY")</f>
        <v>August-2026</v>
      </c>
      <c r="V67" s="23">
        <f>YEAR(Sales_Table[[#This Row],[Month]])</f>
        <v>2026</v>
      </c>
      <c r="W67" s="23" t="str">
        <f>TEXT(Sales_Table[[#This Row],[Order Date]],"DDDD")</f>
        <v>Tuesday</v>
      </c>
      <c r="X67" s="23" t="str">
        <f>IF(OR(Sales_Table[[#This Row],[Days ]]=$W$5,Sales_Table[[#This Row],[Days ]]=$W$8),"Weekned","Weekday")</f>
        <v>Weekday</v>
      </c>
      <c r="Y67" s="23" t="str">
        <f>IF(Sales_Table[[#This Row],[Order Status]]="Delivered","Y","N")</f>
        <v>Y</v>
      </c>
      <c r="Z67" s="23" t="str">
        <f>IF(Sales_Table[[#This Row],[Order Status]]="Returned","Yes","N")</f>
        <v>N</v>
      </c>
    </row>
    <row r="68" spans="1:26" ht="15.5" x14ac:dyDescent="0.35">
      <c r="A68" s="20" t="s">
        <v>110</v>
      </c>
      <c r="B68" s="21">
        <v>46256</v>
      </c>
      <c r="C68" s="20" t="s">
        <v>45</v>
      </c>
      <c r="D68" s="20" t="s">
        <v>13</v>
      </c>
      <c r="E68" s="20" t="s">
        <v>27</v>
      </c>
      <c r="F68" s="20" t="s">
        <v>28</v>
      </c>
      <c r="G68" s="20" t="s">
        <v>16</v>
      </c>
      <c r="H68" s="20" t="s">
        <v>29</v>
      </c>
      <c r="I68" s="20">
        <v>6</v>
      </c>
      <c r="J68" s="20">
        <v>50000</v>
      </c>
      <c r="K68" s="22">
        <v>0.12</v>
      </c>
      <c r="L68" s="20" t="str">
        <f>_xlfn.XLOOKUP(Sales_Table[[#This Row],[Product ID]],Products[Product ID],Products[Product Name],"N",0)</f>
        <v>Laptop</v>
      </c>
      <c r="M68" s="20" t="str">
        <f>_xlfn.XLOOKUP(Sales_Table[[#This Row],[Employee ID]],Employees[Employee ID],Employees[Employee Name],"N",0)</f>
        <v>Arjun Reddy</v>
      </c>
      <c r="N68" s="20" t="str">
        <f>_xlfn.XLOOKUP(Sales_Table[[#This Row],[Customer ID]],Table22[Customer ID],Table22[Customer Name])</f>
        <v>Future Systems</v>
      </c>
      <c r="O68" s="23">
        <f>Sales_Table[[#This Row],[Unit Price]]*Sales_Table[[#This Row],[Quantity]]</f>
        <v>300000</v>
      </c>
      <c r="P68" s="23">
        <f>Sales_Table[[#This Row],[Gross Sales]]*Sales_Table[[#This Row],[Discount %]]</f>
        <v>36000</v>
      </c>
      <c r="Q68" s="23">
        <f>Sales_Table[[#This Row],[Gross Sales]]-Sales_Table[[#This Row],[Discount]]</f>
        <v>264000</v>
      </c>
      <c r="R68" s="23">
        <f>VLOOKUP(Sales_Table[[#This Row],[Product ID]],Products[],5,FALSE)*Sales_Table[[#This Row],[Quantity]]</f>
        <v>234000</v>
      </c>
      <c r="S68" s="23">
        <f>Sales_Table[[#This Row],[Net Sale]]-Sales_Table[[#This Row],[Total Cost]]</f>
        <v>30000</v>
      </c>
      <c r="T68" s="24">
        <f>Sales_Table[[#This Row],[Profit]]/Sales_Table[[#This Row],[Net Sale]]</f>
        <v>0.11363636363636363</v>
      </c>
      <c r="U68" s="23" t="str">
        <f>TEXT(Sales_Table[[#This Row],[Order Date]],"mmmm-YYYY")</f>
        <v>August-2026</v>
      </c>
      <c r="V68" s="23">
        <f>YEAR(Sales_Table[[#This Row],[Month]])</f>
        <v>2026</v>
      </c>
      <c r="W68" s="23" t="str">
        <f>TEXT(Sales_Table[[#This Row],[Order Date]],"DDDD")</f>
        <v>Saturday</v>
      </c>
      <c r="X68" s="23" t="str">
        <f>IF(OR(Sales_Table[[#This Row],[Days ]]=$W$5,Sales_Table[[#This Row],[Days ]]=$W$8),"Weekned","Weekday")</f>
        <v>Weekned</v>
      </c>
      <c r="Y68" s="23" t="str">
        <f>IF(Sales_Table[[#This Row],[Order Status]]="Delivered","Y","N")</f>
        <v>Y</v>
      </c>
      <c r="Z68" s="23" t="str">
        <f>IF(Sales_Table[[#This Row],[Order Status]]="Returned","Yes","N")</f>
        <v>N</v>
      </c>
    </row>
    <row r="69" spans="1:26" ht="15.5" x14ac:dyDescent="0.35">
      <c r="A69" s="20" t="s">
        <v>111</v>
      </c>
      <c r="B69" s="21">
        <v>46259</v>
      </c>
      <c r="C69" s="20" t="s">
        <v>47</v>
      </c>
      <c r="D69" s="20" t="s">
        <v>20</v>
      </c>
      <c r="E69" s="20" t="s">
        <v>33</v>
      </c>
      <c r="F69" s="20" t="s">
        <v>34</v>
      </c>
      <c r="G69" s="20" t="s">
        <v>16</v>
      </c>
      <c r="H69" s="20" t="s">
        <v>17</v>
      </c>
      <c r="I69" s="20">
        <v>15</v>
      </c>
      <c r="J69" s="20">
        <v>25000</v>
      </c>
      <c r="K69" s="22">
        <v>0.1</v>
      </c>
      <c r="L69" s="20" t="str">
        <f>_xlfn.XLOOKUP(Sales_Table[[#This Row],[Product ID]],Products[Product ID],Products[Product Name],"N",0)</f>
        <v>Monitor</v>
      </c>
      <c r="M69" s="20" t="str">
        <f>_xlfn.XLOOKUP(Sales_Table[[#This Row],[Employee ID]],Employees[Employee ID],Employees[Employee Name],"N",0)</f>
        <v>Sneha Patel</v>
      </c>
      <c r="N69" s="20" t="str">
        <f>_xlfn.XLOOKUP(Sales_Table[[#This Row],[Customer ID]],Table22[Customer ID],Table22[Customer Name])</f>
        <v>Prime Digital</v>
      </c>
      <c r="O69" s="23">
        <f>Sales_Table[[#This Row],[Unit Price]]*Sales_Table[[#This Row],[Quantity]]</f>
        <v>375000</v>
      </c>
      <c r="P69" s="23">
        <f>Sales_Table[[#This Row],[Gross Sales]]*Sales_Table[[#This Row],[Discount %]]</f>
        <v>37500</v>
      </c>
      <c r="Q69" s="23">
        <f>Sales_Table[[#This Row],[Gross Sales]]-Sales_Table[[#This Row],[Discount]]</f>
        <v>337500</v>
      </c>
      <c r="R69" s="23">
        <f>VLOOKUP(Sales_Table[[#This Row],[Product ID]],Products[],5,FALSE)*Sales_Table[[#This Row],[Quantity]]</f>
        <v>285000</v>
      </c>
      <c r="S69" s="23">
        <f>Sales_Table[[#This Row],[Net Sale]]-Sales_Table[[#This Row],[Total Cost]]</f>
        <v>52500</v>
      </c>
      <c r="T69" s="24">
        <f>Sales_Table[[#This Row],[Profit]]/Sales_Table[[#This Row],[Net Sale]]</f>
        <v>0.15555555555555556</v>
      </c>
      <c r="U69" s="23" t="str">
        <f>TEXT(Sales_Table[[#This Row],[Order Date]],"mmmm-YYYY")</f>
        <v>August-2026</v>
      </c>
      <c r="V69" s="23">
        <f>YEAR(Sales_Table[[#This Row],[Month]])</f>
        <v>2026</v>
      </c>
      <c r="W69" s="23" t="str">
        <f>TEXT(Sales_Table[[#This Row],[Order Date]],"DDDD")</f>
        <v>Tuesday</v>
      </c>
      <c r="X69" s="23" t="str">
        <f>IF(OR(Sales_Table[[#This Row],[Days ]]=$W$5,Sales_Table[[#This Row],[Days ]]=$W$8),"Weekned","Weekday")</f>
        <v>Weekday</v>
      </c>
      <c r="Y69" s="23" t="str">
        <f>IF(Sales_Table[[#This Row],[Order Status]]="Delivered","Y","N")</f>
        <v>Y</v>
      </c>
      <c r="Z69" s="23" t="str">
        <f>IF(Sales_Table[[#This Row],[Order Status]]="Returned","Yes","N")</f>
        <v>N</v>
      </c>
    </row>
    <row r="70" spans="1:26" ht="15.5" x14ac:dyDescent="0.35">
      <c r="A70" s="20" t="s">
        <v>112</v>
      </c>
      <c r="B70" s="21">
        <v>46267</v>
      </c>
      <c r="C70" s="20" t="s">
        <v>49</v>
      </c>
      <c r="D70" s="20" t="s">
        <v>26</v>
      </c>
      <c r="E70" s="20" t="s">
        <v>39</v>
      </c>
      <c r="F70" s="20" t="s">
        <v>15</v>
      </c>
      <c r="G70" s="20" t="s">
        <v>16</v>
      </c>
      <c r="H70" s="20" t="s">
        <v>23</v>
      </c>
      <c r="I70" s="20">
        <v>40</v>
      </c>
      <c r="J70" s="20">
        <v>5000</v>
      </c>
      <c r="K70" s="22">
        <v>0.05</v>
      </c>
      <c r="L70" s="20" t="str">
        <f>_xlfn.XLOOKUP(Sales_Table[[#This Row],[Product ID]],Products[Product ID],Products[Product Name],"N",0)</f>
        <v>Keyboard</v>
      </c>
      <c r="M70" s="20" t="str">
        <f>_xlfn.XLOOKUP(Sales_Table[[#This Row],[Employee ID]],Employees[Employee ID],Employees[Employee Name],"N",0)</f>
        <v>Kiran Rao</v>
      </c>
      <c r="N70" s="20" t="str">
        <f>_xlfn.XLOOKUP(Sales_Table[[#This Row],[Customer ID]],Table22[Customer ID],Table22[Customer Name])</f>
        <v>Smart World</v>
      </c>
      <c r="O70" s="23">
        <f>Sales_Table[[#This Row],[Unit Price]]*Sales_Table[[#This Row],[Quantity]]</f>
        <v>200000</v>
      </c>
      <c r="P70" s="23">
        <f>Sales_Table[[#This Row],[Gross Sales]]*Sales_Table[[#This Row],[Discount %]]</f>
        <v>10000</v>
      </c>
      <c r="Q70" s="23">
        <f>Sales_Table[[#This Row],[Gross Sales]]-Sales_Table[[#This Row],[Discount]]</f>
        <v>190000</v>
      </c>
      <c r="R70" s="23">
        <f>VLOOKUP(Sales_Table[[#This Row],[Product ID]],Products[],5,FALSE)*Sales_Table[[#This Row],[Quantity]]</f>
        <v>140000</v>
      </c>
      <c r="S70" s="23">
        <f>Sales_Table[[#This Row],[Net Sale]]-Sales_Table[[#This Row],[Total Cost]]</f>
        <v>50000</v>
      </c>
      <c r="T70" s="24">
        <f>Sales_Table[[#This Row],[Profit]]/Sales_Table[[#This Row],[Net Sale]]</f>
        <v>0.26315789473684209</v>
      </c>
      <c r="U70" s="23" t="str">
        <f>TEXT(Sales_Table[[#This Row],[Order Date]],"mmmm-YYYY")</f>
        <v>September-2026</v>
      </c>
      <c r="V70" s="23">
        <f>YEAR(Sales_Table[[#This Row],[Month]])</f>
        <v>2026</v>
      </c>
      <c r="W70" s="23" t="str">
        <f>TEXT(Sales_Table[[#This Row],[Order Date]],"DDDD")</f>
        <v>Wednesday</v>
      </c>
      <c r="X70" s="23" t="str">
        <f>IF(OR(Sales_Table[[#This Row],[Days ]]=$W$5,Sales_Table[[#This Row],[Days ]]=$W$8),"Weekned","Weekday")</f>
        <v>Weekday</v>
      </c>
      <c r="Y70" s="23" t="str">
        <f>IF(Sales_Table[[#This Row],[Order Status]]="Delivered","Y","N")</f>
        <v>Y</v>
      </c>
      <c r="Z70" s="23" t="str">
        <f>IF(Sales_Table[[#This Row],[Order Status]]="Returned","Yes","N")</f>
        <v>N</v>
      </c>
    </row>
    <row r="71" spans="1:26" ht="15.5" x14ac:dyDescent="0.35">
      <c r="A71" s="20" t="s">
        <v>113</v>
      </c>
      <c r="B71" s="21">
        <v>46270</v>
      </c>
      <c r="C71" s="20" t="s">
        <v>51</v>
      </c>
      <c r="D71" s="20" t="s">
        <v>32</v>
      </c>
      <c r="E71" s="20" t="s">
        <v>43</v>
      </c>
      <c r="F71" s="20" t="s">
        <v>22</v>
      </c>
      <c r="G71" s="20" t="s">
        <v>16</v>
      </c>
      <c r="H71" s="20" t="s">
        <v>35</v>
      </c>
      <c r="I71" s="20">
        <v>45</v>
      </c>
      <c r="J71" s="20">
        <v>2000</v>
      </c>
      <c r="K71" s="22">
        <v>0</v>
      </c>
      <c r="L71" s="20" t="str">
        <f>_xlfn.XLOOKUP(Sales_Table[[#This Row],[Product ID]],Products[Product ID],Products[Product Name],"N",0)</f>
        <v>Mouse</v>
      </c>
      <c r="M71" s="20" t="str">
        <f>_xlfn.XLOOKUP(Sales_Table[[#This Row],[Employee ID]],Employees[Employee ID],Employees[Employee Name],"N",0)</f>
        <v>Anjali Singh</v>
      </c>
      <c r="N71" s="20" t="str">
        <f>_xlfn.XLOOKUP(Sales_Table[[#This Row],[Customer ID]],Table22[Customer ID],Table22[Customer Name])</f>
        <v>NextGen Solutions</v>
      </c>
      <c r="O71" s="23">
        <f>Sales_Table[[#This Row],[Unit Price]]*Sales_Table[[#This Row],[Quantity]]</f>
        <v>90000</v>
      </c>
      <c r="P71" s="23">
        <f>Sales_Table[[#This Row],[Gross Sales]]*Sales_Table[[#This Row],[Discount %]]</f>
        <v>0</v>
      </c>
      <c r="Q71" s="23">
        <f>Sales_Table[[#This Row],[Gross Sales]]-Sales_Table[[#This Row],[Discount]]</f>
        <v>90000</v>
      </c>
      <c r="R71" s="23">
        <f>VLOOKUP(Sales_Table[[#This Row],[Product ID]],Products[],5,FALSE)*Sales_Table[[#This Row],[Quantity]]</f>
        <v>54000</v>
      </c>
      <c r="S71" s="23">
        <f>Sales_Table[[#This Row],[Net Sale]]-Sales_Table[[#This Row],[Total Cost]]</f>
        <v>36000</v>
      </c>
      <c r="T71" s="24">
        <f>Sales_Table[[#This Row],[Profit]]/Sales_Table[[#This Row],[Net Sale]]</f>
        <v>0.4</v>
      </c>
      <c r="U71" s="23" t="str">
        <f>TEXT(Sales_Table[[#This Row],[Order Date]],"mmmm-YYYY")</f>
        <v>September-2026</v>
      </c>
      <c r="V71" s="23">
        <f>YEAR(Sales_Table[[#This Row],[Month]])</f>
        <v>2026</v>
      </c>
      <c r="W71" s="23" t="str">
        <f>TEXT(Sales_Table[[#This Row],[Order Date]],"DDDD")</f>
        <v>Saturday</v>
      </c>
      <c r="X71" s="23" t="str">
        <f>IF(OR(Sales_Table[[#This Row],[Days ]]=$W$5,Sales_Table[[#This Row],[Days ]]=$W$8),"Weekned","Weekday")</f>
        <v>Weekned</v>
      </c>
      <c r="Y71" s="23" t="str">
        <f>IF(Sales_Table[[#This Row],[Order Status]]="Delivered","Y","N")</f>
        <v>Y</v>
      </c>
      <c r="Z71" s="23" t="str">
        <f>IF(Sales_Table[[#This Row],[Order Status]]="Returned","Yes","N")</f>
        <v>N</v>
      </c>
    </row>
    <row r="72" spans="1:26" ht="15.5" x14ac:dyDescent="0.35">
      <c r="A72" s="20" t="s">
        <v>114</v>
      </c>
      <c r="B72" s="21">
        <v>46273</v>
      </c>
      <c r="C72" s="20" t="s">
        <v>12</v>
      </c>
      <c r="D72" s="20" t="s">
        <v>38</v>
      </c>
      <c r="E72" s="20" t="s">
        <v>14</v>
      </c>
      <c r="F72" s="20" t="s">
        <v>28</v>
      </c>
      <c r="G72" s="20" t="s">
        <v>16</v>
      </c>
      <c r="H72" s="20" t="s">
        <v>29</v>
      </c>
      <c r="I72" s="20">
        <v>11</v>
      </c>
      <c r="J72" s="20">
        <v>35000</v>
      </c>
      <c r="K72" s="22">
        <v>0.1</v>
      </c>
      <c r="L72" s="20" t="str">
        <f>_xlfn.XLOOKUP(Sales_Table[[#This Row],[Product ID]],Products[Product ID],Products[Product Name],"N",0)</f>
        <v>Printer</v>
      </c>
      <c r="M72" s="20" t="str">
        <f>_xlfn.XLOOKUP(Sales_Table[[#This Row],[Employee ID]],Employees[Employee ID],Employees[Employee Name],"N",0)</f>
        <v>Rahul Kumar</v>
      </c>
      <c r="N72" s="20" t="str">
        <f>_xlfn.XLOOKUP(Sales_Table[[#This Row],[Customer ID]],Table22[Customer ID],Table22[Customer Name])</f>
        <v>ABC Technologies</v>
      </c>
      <c r="O72" s="23">
        <f>Sales_Table[[#This Row],[Unit Price]]*Sales_Table[[#This Row],[Quantity]]</f>
        <v>385000</v>
      </c>
      <c r="P72" s="23">
        <f>Sales_Table[[#This Row],[Gross Sales]]*Sales_Table[[#This Row],[Discount %]]</f>
        <v>38500</v>
      </c>
      <c r="Q72" s="23">
        <f>Sales_Table[[#This Row],[Gross Sales]]-Sales_Table[[#This Row],[Discount]]</f>
        <v>346500</v>
      </c>
      <c r="R72" s="23">
        <f>VLOOKUP(Sales_Table[[#This Row],[Product ID]],Products[],5,FALSE)*Sales_Table[[#This Row],[Quantity]]</f>
        <v>297000</v>
      </c>
      <c r="S72" s="23">
        <f>Sales_Table[[#This Row],[Net Sale]]-Sales_Table[[#This Row],[Total Cost]]</f>
        <v>49500</v>
      </c>
      <c r="T72" s="24">
        <f>Sales_Table[[#This Row],[Profit]]/Sales_Table[[#This Row],[Net Sale]]</f>
        <v>0.14285714285714285</v>
      </c>
      <c r="U72" s="23" t="str">
        <f>TEXT(Sales_Table[[#This Row],[Order Date]],"mmmm-YYYY")</f>
        <v>September-2026</v>
      </c>
      <c r="V72" s="23">
        <f>YEAR(Sales_Table[[#This Row],[Month]])</f>
        <v>2026</v>
      </c>
      <c r="W72" s="23" t="str">
        <f>TEXT(Sales_Table[[#This Row],[Order Date]],"DDDD")</f>
        <v>Tuesday</v>
      </c>
      <c r="X72" s="23" t="str">
        <f>IF(OR(Sales_Table[[#This Row],[Days ]]=$W$5,Sales_Table[[#This Row],[Days ]]=$W$8),"Weekned","Weekday")</f>
        <v>Weekday</v>
      </c>
      <c r="Y72" s="23" t="str">
        <f>IF(Sales_Table[[#This Row],[Order Status]]="Delivered","Y","N")</f>
        <v>Y</v>
      </c>
      <c r="Z72" s="23" t="str">
        <f>IF(Sales_Table[[#This Row],[Order Status]]="Returned","Yes","N")</f>
        <v>N</v>
      </c>
    </row>
    <row r="73" spans="1:26" ht="15.5" x14ac:dyDescent="0.35">
      <c r="A73" s="20" t="s">
        <v>115</v>
      </c>
      <c r="B73" s="21">
        <v>46275</v>
      </c>
      <c r="C73" s="20" t="s">
        <v>19</v>
      </c>
      <c r="D73" s="20" t="s">
        <v>42</v>
      </c>
      <c r="E73" s="20" t="s">
        <v>21</v>
      </c>
      <c r="F73" s="20" t="s">
        <v>34</v>
      </c>
      <c r="G73" s="20" t="s">
        <v>16</v>
      </c>
      <c r="H73" s="20" t="s">
        <v>17</v>
      </c>
      <c r="I73" s="20">
        <v>23</v>
      </c>
      <c r="J73" s="20">
        <v>8000</v>
      </c>
      <c r="K73" s="22">
        <v>0.05</v>
      </c>
      <c r="L73" s="20" t="str">
        <f>_xlfn.XLOOKUP(Sales_Table[[#This Row],[Product ID]],Products[Product ID],Products[Product Name],"N",0)</f>
        <v>Headset</v>
      </c>
      <c r="M73" s="20" t="str">
        <f>_xlfn.XLOOKUP(Sales_Table[[#This Row],[Employee ID]],Employees[Employee ID],Employees[Employee Name],"N",0)</f>
        <v>Priya Sharma</v>
      </c>
      <c r="N73" s="20" t="str">
        <f>_xlfn.XLOOKUP(Sales_Table[[#This Row],[Customer ID]],Table22[Customer ID],Table22[Customer Name])</f>
        <v>Sri Lakshmi Traders</v>
      </c>
      <c r="O73" s="23">
        <f>Sales_Table[[#This Row],[Unit Price]]*Sales_Table[[#This Row],[Quantity]]</f>
        <v>184000</v>
      </c>
      <c r="P73" s="23">
        <f>Sales_Table[[#This Row],[Gross Sales]]*Sales_Table[[#This Row],[Discount %]]</f>
        <v>9200</v>
      </c>
      <c r="Q73" s="23">
        <f>Sales_Table[[#This Row],[Gross Sales]]-Sales_Table[[#This Row],[Discount]]</f>
        <v>174800</v>
      </c>
      <c r="R73" s="23">
        <f>VLOOKUP(Sales_Table[[#This Row],[Product ID]],Products[],5,FALSE)*Sales_Table[[#This Row],[Quantity]]</f>
        <v>119600</v>
      </c>
      <c r="S73" s="23">
        <f>Sales_Table[[#This Row],[Net Sale]]-Sales_Table[[#This Row],[Total Cost]]</f>
        <v>55200</v>
      </c>
      <c r="T73" s="24">
        <f>Sales_Table[[#This Row],[Profit]]/Sales_Table[[#This Row],[Net Sale]]</f>
        <v>0.31578947368421051</v>
      </c>
      <c r="U73" s="23" t="str">
        <f>TEXT(Sales_Table[[#This Row],[Order Date]],"mmmm-YYYY")</f>
        <v>September-2026</v>
      </c>
      <c r="V73" s="23">
        <f>YEAR(Sales_Table[[#This Row],[Month]])</f>
        <v>2026</v>
      </c>
      <c r="W73" s="23" t="str">
        <f>TEXT(Sales_Table[[#This Row],[Order Date]],"DDDD")</f>
        <v>Thursday</v>
      </c>
      <c r="X73" s="23" t="str">
        <f>IF(OR(Sales_Table[[#This Row],[Days ]]=$W$5,Sales_Table[[#This Row],[Days ]]=$W$8),"Weekned","Weekday")</f>
        <v>Weekday</v>
      </c>
      <c r="Y73" s="23" t="str">
        <f>IF(Sales_Table[[#This Row],[Order Status]]="Delivered","Y","N")</f>
        <v>Y</v>
      </c>
      <c r="Z73" s="23" t="str">
        <f>IF(Sales_Table[[#This Row],[Order Status]]="Returned","Yes","N")</f>
        <v>N</v>
      </c>
    </row>
    <row r="74" spans="1:26" ht="15.5" x14ac:dyDescent="0.35">
      <c r="A74" s="20" t="s">
        <v>116</v>
      </c>
      <c r="B74" s="21">
        <v>46277</v>
      </c>
      <c r="C74" s="20" t="s">
        <v>25</v>
      </c>
      <c r="D74" s="20" t="s">
        <v>13</v>
      </c>
      <c r="E74" s="20" t="s">
        <v>27</v>
      </c>
      <c r="F74" s="20" t="s">
        <v>15</v>
      </c>
      <c r="G74" s="20" t="s">
        <v>16</v>
      </c>
      <c r="H74" s="20" t="s">
        <v>23</v>
      </c>
      <c r="I74" s="20">
        <v>5</v>
      </c>
      <c r="J74" s="20">
        <v>50000</v>
      </c>
      <c r="K74" s="22">
        <v>0.15</v>
      </c>
      <c r="L74" s="20" t="str">
        <f>_xlfn.XLOOKUP(Sales_Table[[#This Row],[Product ID]],Products[Product ID],Products[Product Name],"N",0)</f>
        <v>Laptop</v>
      </c>
      <c r="M74" s="20" t="str">
        <f>_xlfn.XLOOKUP(Sales_Table[[#This Row],[Employee ID]],Employees[Employee ID],Employees[Employee Name],"N",0)</f>
        <v>Arjun Reddy</v>
      </c>
      <c r="N74" s="20" t="str">
        <f>_xlfn.XLOOKUP(Sales_Table[[#This Row],[Customer ID]],Table22[Customer ID],Table22[Customer Name])</f>
        <v>Vertex Solutions</v>
      </c>
      <c r="O74" s="23">
        <f>Sales_Table[[#This Row],[Unit Price]]*Sales_Table[[#This Row],[Quantity]]</f>
        <v>250000</v>
      </c>
      <c r="P74" s="23">
        <f>Sales_Table[[#This Row],[Gross Sales]]*Sales_Table[[#This Row],[Discount %]]</f>
        <v>37500</v>
      </c>
      <c r="Q74" s="23">
        <f>Sales_Table[[#This Row],[Gross Sales]]-Sales_Table[[#This Row],[Discount]]</f>
        <v>212500</v>
      </c>
      <c r="R74" s="23">
        <f>VLOOKUP(Sales_Table[[#This Row],[Product ID]],Products[],5,FALSE)*Sales_Table[[#This Row],[Quantity]]</f>
        <v>195000</v>
      </c>
      <c r="S74" s="23">
        <f>Sales_Table[[#This Row],[Net Sale]]-Sales_Table[[#This Row],[Total Cost]]</f>
        <v>17500</v>
      </c>
      <c r="T74" s="24">
        <f>Sales_Table[[#This Row],[Profit]]/Sales_Table[[#This Row],[Net Sale]]</f>
        <v>8.2352941176470587E-2</v>
      </c>
      <c r="U74" s="23" t="str">
        <f>TEXT(Sales_Table[[#This Row],[Order Date]],"mmmm-YYYY")</f>
        <v>September-2026</v>
      </c>
      <c r="V74" s="23">
        <f>YEAR(Sales_Table[[#This Row],[Month]])</f>
        <v>2026</v>
      </c>
      <c r="W74" s="23" t="str">
        <f>TEXT(Sales_Table[[#This Row],[Order Date]],"DDDD")</f>
        <v>Saturday</v>
      </c>
      <c r="X74" s="23" t="str">
        <f>IF(OR(Sales_Table[[#This Row],[Days ]]=$W$5,Sales_Table[[#This Row],[Days ]]=$W$8),"Weekned","Weekday")</f>
        <v>Weekned</v>
      </c>
      <c r="Y74" s="23" t="str">
        <f>IF(Sales_Table[[#This Row],[Order Status]]="Delivered","Y","N")</f>
        <v>Y</v>
      </c>
      <c r="Z74" s="23" t="str">
        <f>IF(Sales_Table[[#This Row],[Order Status]]="Returned","Yes","N")</f>
        <v>N</v>
      </c>
    </row>
    <row r="75" spans="1:26" ht="15.5" x14ac:dyDescent="0.35">
      <c r="A75" s="20" t="s">
        <v>117</v>
      </c>
      <c r="B75" s="21">
        <v>46279</v>
      </c>
      <c r="C75" s="20" t="s">
        <v>31</v>
      </c>
      <c r="D75" s="20" t="s">
        <v>20</v>
      </c>
      <c r="E75" s="20" t="s">
        <v>33</v>
      </c>
      <c r="F75" s="20" t="s">
        <v>22</v>
      </c>
      <c r="G75" s="20" t="s">
        <v>16</v>
      </c>
      <c r="H75" s="20" t="s">
        <v>29</v>
      </c>
      <c r="I75" s="20">
        <v>18</v>
      </c>
      <c r="J75" s="20">
        <v>25000</v>
      </c>
      <c r="K75" s="22">
        <v>0.12</v>
      </c>
      <c r="L75" s="20" t="str">
        <f>_xlfn.XLOOKUP(Sales_Table[[#This Row],[Product ID]],Products[Product ID],Products[Product Name],"N",0)</f>
        <v>Monitor</v>
      </c>
      <c r="M75" s="20" t="str">
        <f>_xlfn.XLOOKUP(Sales_Table[[#This Row],[Employee ID]],Employees[Employee ID],Employees[Employee Name],"N",0)</f>
        <v>Sneha Patel</v>
      </c>
      <c r="N75" s="20" t="str">
        <f>_xlfn.XLOOKUP(Sales_Table[[#This Row],[Customer ID]],Table22[Customer ID],Table22[Customer Name])</f>
        <v>Royal Enterprises</v>
      </c>
      <c r="O75" s="23">
        <f>Sales_Table[[#This Row],[Unit Price]]*Sales_Table[[#This Row],[Quantity]]</f>
        <v>450000</v>
      </c>
      <c r="P75" s="23">
        <f>Sales_Table[[#This Row],[Gross Sales]]*Sales_Table[[#This Row],[Discount %]]</f>
        <v>54000</v>
      </c>
      <c r="Q75" s="23">
        <f>Sales_Table[[#This Row],[Gross Sales]]-Sales_Table[[#This Row],[Discount]]</f>
        <v>396000</v>
      </c>
      <c r="R75" s="23">
        <f>VLOOKUP(Sales_Table[[#This Row],[Product ID]],Products[],5,FALSE)*Sales_Table[[#This Row],[Quantity]]</f>
        <v>342000</v>
      </c>
      <c r="S75" s="23">
        <f>Sales_Table[[#This Row],[Net Sale]]-Sales_Table[[#This Row],[Total Cost]]</f>
        <v>54000</v>
      </c>
      <c r="T75" s="24">
        <f>Sales_Table[[#This Row],[Profit]]/Sales_Table[[#This Row],[Net Sale]]</f>
        <v>0.13636363636363635</v>
      </c>
      <c r="U75" s="23" t="str">
        <f>TEXT(Sales_Table[[#This Row],[Order Date]],"mmmm-YYYY")</f>
        <v>September-2026</v>
      </c>
      <c r="V75" s="23">
        <f>YEAR(Sales_Table[[#This Row],[Month]])</f>
        <v>2026</v>
      </c>
      <c r="W75" s="23" t="str">
        <f>TEXT(Sales_Table[[#This Row],[Order Date]],"DDDD")</f>
        <v>Monday</v>
      </c>
      <c r="X75" s="23" t="str">
        <f>IF(OR(Sales_Table[[#This Row],[Days ]]=$W$5,Sales_Table[[#This Row],[Days ]]=$W$8),"Weekned","Weekday")</f>
        <v>Weekday</v>
      </c>
      <c r="Y75" s="23" t="str">
        <f>IF(Sales_Table[[#This Row],[Order Status]]="Delivered","Y","N")</f>
        <v>Y</v>
      </c>
      <c r="Z75" s="23" t="str">
        <f>IF(Sales_Table[[#This Row],[Order Status]]="Returned","Yes","N")</f>
        <v>N</v>
      </c>
    </row>
    <row r="76" spans="1:26" ht="15.5" x14ac:dyDescent="0.35">
      <c r="A76" s="20" t="s">
        <v>118</v>
      </c>
      <c r="B76" s="21">
        <v>46280</v>
      </c>
      <c r="C76" s="20" t="s">
        <v>37</v>
      </c>
      <c r="D76" s="20" t="s">
        <v>26</v>
      </c>
      <c r="E76" s="20" t="s">
        <v>39</v>
      </c>
      <c r="F76" s="20" t="s">
        <v>28</v>
      </c>
      <c r="G76" s="20" t="s">
        <v>16</v>
      </c>
      <c r="H76" s="20" t="s">
        <v>17</v>
      </c>
      <c r="I76" s="20">
        <v>35</v>
      </c>
      <c r="J76" s="20">
        <v>5000</v>
      </c>
      <c r="K76" s="22">
        <v>0.08</v>
      </c>
      <c r="L76" s="20" t="str">
        <f>_xlfn.XLOOKUP(Sales_Table[[#This Row],[Product ID]],Products[Product ID],Products[Product Name],"N",0)</f>
        <v>Keyboard</v>
      </c>
      <c r="M76" s="20" t="str">
        <f>_xlfn.XLOOKUP(Sales_Table[[#This Row],[Employee ID]],Employees[Employee ID],Employees[Employee Name],"N",0)</f>
        <v>Kiran Rao</v>
      </c>
      <c r="N76" s="20" t="str">
        <f>_xlfn.XLOOKUP(Sales_Table[[#This Row],[Customer ID]],Table22[Customer ID],Table22[Customer Name])</f>
        <v>TechNova Pvt Ltd</v>
      </c>
      <c r="O76" s="23">
        <f>Sales_Table[[#This Row],[Unit Price]]*Sales_Table[[#This Row],[Quantity]]</f>
        <v>175000</v>
      </c>
      <c r="P76" s="23">
        <f>Sales_Table[[#This Row],[Gross Sales]]*Sales_Table[[#This Row],[Discount %]]</f>
        <v>14000</v>
      </c>
      <c r="Q76" s="23">
        <f>Sales_Table[[#This Row],[Gross Sales]]-Sales_Table[[#This Row],[Discount]]</f>
        <v>161000</v>
      </c>
      <c r="R76" s="23">
        <f>VLOOKUP(Sales_Table[[#This Row],[Product ID]],Products[],5,FALSE)*Sales_Table[[#This Row],[Quantity]]</f>
        <v>122500</v>
      </c>
      <c r="S76" s="23">
        <f>Sales_Table[[#This Row],[Net Sale]]-Sales_Table[[#This Row],[Total Cost]]</f>
        <v>38500</v>
      </c>
      <c r="T76" s="24">
        <f>Sales_Table[[#This Row],[Profit]]/Sales_Table[[#This Row],[Net Sale]]</f>
        <v>0.2391304347826087</v>
      </c>
      <c r="U76" s="23" t="str">
        <f>TEXT(Sales_Table[[#This Row],[Order Date]],"mmmm-YYYY")</f>
        <v>September-2026</v>
      </c>
      <c r="V76" s="23">
        <f>YEAR(Sales_Table[[#This Row],[Month]])</f>
        <v>2026</v>
      </c>
      <c r="W76" s="23" t="str">
        <f>TEXT(Sales_Table[[#This Row],[Order Date]],"DDDD")</f>
        <v>Tuesday</v>
      </c>
      <c r="X76" s="23" t="str">
        <f>IF(OR(Sales_Table[[#This Row],[Days ]]=$W$5,Sales_Table[[#This Row],[Days ]]=$W$8),"Weekned","Weekday")</f>
        <v>Weekday</v>
      </c>
      <c r="Y76" s="23" t="str">
        <f>IF(Sales_Table[[#This Row],[Order Status]]="Delivered","Y","N")</f>
        <v>Y</v>
      </c>
      <c r="Z76" s="23" t="str">
        <f>IF(Sales_Table[[#This Row],[Order Status]]="Returned","Yes","N")</f>
        <v>N</v>
      </c>
    </row>
    <row r="77" spans="1:26" ht="15.5" x14ac:dyDescent="0.35">
      <c r="A77" s="20" t="s">
        <v>119</v>
      </c>
      <c r="B77" s="21">
        <v>46281</v>
      </c>
      <c r="C77" s="20" t="s">
        <v>41</v>
      </c>
      <c r="D77" s="20" t="s">
        <v>32</v>
      </c>
      <c r="E77" s="20" t="s">
        <v>43</v>
      </c>
      <c r="F77" s="20" t="s">
        <v>34</v>
      </c>
      <c r="G77" s="20" t="s">
        <v>16</v>
      </c>
      <c r="H77" s="20" t="s">
        <v>35</v>
      </c>
      <c r="I77" s="20">
        <v>48</v>
      </c>
      <c r="J77" s="20">
        <v>2000</v>
      </c>
      <c r="K77" s="22">
        <v>0</v>
      </c>
      <c r="L77" s="20" t="str">
        <f>_xlfn.XLOOKUP(Sales_Table[[#This Row],[Product ID]],Products[Product ID],Products[Product Name],"N",0)</f>
        <v>Mouse</v>
      </c>
      <c r="M77" s="20" t="str">
        <f>_xlfn.XLOOKUP(Sales_Table[[#This Row],[Employee ID]],Employees[Employee ID],Employees[Employee Name],"N",0)</f>
        <v>Anjali Singh</v>
      </c>
      <c r="N77" s="20" t="str">
        <f>_xlfn.XLOOKUP(Sales_Table[[#This Row],[Customer ID]],Table22[Customer ID],Table22[Customer Name])</f>
        <v>Metro Computers</v>
      </c>
      <c r="O77" s="23">
        <f>Sales_Table[[#This Row],[Unit Price]]*Sales_Table[[#This Row],[Quantity]]</f>
        <v>96000</v>
      </c>
      <c r="P77" s="23">
        <f>Sales_Table[[#This Row],[Gross Sales]]*Sales_Table[[#This Row],[Discount %]]</f>
        <v>0</v>
      </c>
      <c r="Q77" s="23">
        <f>Sales_Table[[#This Row],[Gross Sales]]-Sales_Table[[#This Row],[Discount]]</f>
        <v>96000</v>
      </c>
      <c r="R77" s="23">
        <f>VLOOKUP(Sales_Table[[#This Row],[Product ID]],Products[],5,FALSE)*Sales_Table[[#This Row],[Quantity]]</f>
        <v>57600</v>
      </c>
      <c r="S77" s="23">
        <f>Sales_Table[[#This Row],[Net Sale]]-Sales_Table[[#This Row],[Total Cost]]</f>
        <v>38400</v>
      </c>
      <c r="T77" s="24">
        <f>Sales_Table[[#This Row],[Profit]]/Sales_Table[[#This Row],[Net Sale]]</f>
        <v>0.4</v>
      </c>
      <c r="U77" s="23" t="str">
        <f>TEXT(Sales_Table[[#This Row],[Order Date]],"mmmm-YYYY")</f>
        <v>September-2026</v>
      </c>
      <c r="V77" s="23">
        <f>YEAR(Sales_Table[[#This Row],[Month]])</f>
        <v>2026</v>
      </c>
      <c r="W77" s="23" t="str">
        <f>TEXT(Sales_Table[[#This Row],[Order Date]],"DDDD")</f>
        <v>Wednesday</v>
      </c>
      <c r="X77" s="23" t="str">
        <f>IF(OR(Sales_Table[[#This Row],[Days ]]=$W$5,Sales_Table[[#This Row],[Days ]]=$W$8),"Weekned","Weekday")</f>
        <v>Weekday</v>
      </c>
      <c r="Y77" s="23" t="str">
        <f>IF(Sales_Table[[#This Row],[Order Status]]="Delivered","Y","N")</f>
        <v>Y</v>
      </c>
      <c r="Z77" s="23" t="str">
        <f>IF(Sales_Table[[#This Row],[Order Status]]="Returned","Yes","N")</f>
        <v>N</v>
      </c>
    </row>
    <row r="78" spans="1:26" ht="15.5" x14ac:dyDescent="0.35">
      <c r="A78" s="20" t="s">
        <v>120</v>
      </c>
      <c r="B78" s="21">
        <v>46282</v>
      </c>
      <c r="C78" s="20" t="s">
        <v>45</v>
      </c>
      <c r="D78" s="20" t="s">
        <v>38</v>
      </c>
      <c r="E78" s="20" t="s">
        <v>14</v>
      </c>
      <c r="F78" s="20" t="s">
        <v>15</v>
      </c>
      <c r="G78" s="20" t="s">
        <v>16</v>
      </c>
      <c r="H78" s="20" t="s">
        <v>17</v>
      </c>
      <c r="I78" s="20">
        <v>9</v>
      </c>
      <c r="J78" s="20">
        <v>35000</v>
      </c>
      <c r="K78" s="22">
        <v>0.1</v>
      </c>
      <c r="L78" s="20" t="str">
        <f>_xlfn.XLOOKUP(Sales_Table[[#This Row],[Product ID]],Products[Product ID],Products[Product Name],"N",0)</f>
        <v>Printer</v>
      </c>
      <c r="M78" s="20" t="str">
        <f>_xlfn.XLOOKUP(Sales_Table[[#This Row],[Employee ID]],Employees[Employee ID],Employees[Employee Name],"N",0)</f>
        <v>Rahul Kumar</v>
      </c>
      <c r="N78" s="20" t="str">
        <f>_xlfn.XLOOKUP(Sales_Table[[#This Row],[Customer ID]],Table22[Customer ID],Table22[Customer Name])</f>
        <v>Future Systems</v>
      </c>
      <c r="O78" s="23">
        <f>Sales_Table[[#This Row],[Unit Price]]*Sales_Table[[#This Row],[Quantity]]</f>
        <v>315000</v>
      </c>
      <c r="P78" s="23">
        <f>Sales_Table[[#This Row],[Gross Sales]]*Sales_Table[[#This Row],[Discount %]]</f>
        <v>31500</v>
      </c>
      <c r="Q78" s="23">
        <f>Sales_Table[[#This Row],[Gross Sales]]-Sales_Table[[#This Row],[Discount]]</f>
        <v>283500</v>
      </c>
      <c r="R78" s="23">
        <f>VLOOKUP(Sales_Table[[#This Row],[Product ID]],Products[],5,FALSE)*Sales_Table[[#This Row],[Quantity]]</f>
        <v>243000</v>
      </c>
      <c r="S78" s="23">
        <f>Sales_Table[[#This Row],[Net Sale]]-Sales_Table[[#This Row],[Total Cost]]</f>
        <v>40500</v>
      </c>
      <c r="T78" s="24">
        <f>Sales_Table[[#This Row],[Profit]]/Sales_Table[[#This Row],[Net Sale]]</f>
        <v>0.14285714285714285</v>
      </c>
      <c r="U78" s="23" t="str">
        <f>TEXT(Sales_Table[[#This Row],[Order Date]],"mmmm-YYYY")</f>
        <v>September-2026</v>
      </c>
      <c r="V78" s="23">
        <f>YEAR(Sales_Table[[#This Row],[Month]])</f>
        <v>2026</v>
      </c>
      <c r="W78" s="23" t="str">
        <f>TEXT(Sales_Table[[#This Row],[Order Date]],"DDDD")</f>
        <v>Thursday</v>
      </c>
      <c r="X78" s="23" t="str">
        <f>IF(OR(Sales_Table[[#This Row],[Days ]]=$W$5,Sales_Table[[#This Row],[Days ]]=$W$8),"Weekned","Weekday")</f>
        <v>Weekday</v>
      </c>
      <c r="Y78" s="23" t="str">
        <f>IF(Sales_Table[[#This Row],[Order Status]]="Delivered","Y","N")</f>
        <v>Y</v>
      </c>
      <c r="Z78" s="23" t="str">
        <f>IF(Sales_Table[[#This Row],[Order Status]]="Returned","Yes","N")</f>
        <v>N</v>
      </c>
    </row>
    <row r="79" spans="1:26" ht="15.5" x14ac:dyDescent="0.35">
      <c r="A79" s="20" t="s">
        <v>121</v>
      </c>
      <c r="B79" s="21">
        <v>46283</v>
      </c>
      <c r="C79" s="20" t="s">
        <v>47</v>
      </c>
      <c r="D79" s="20" t="s">
        <v>42</v>
      </c>
      <c r="E79" s="20" t="s">
        <v>21</v>
      </c>
      <c r="F79" s="20" t="s">
        <v>22</v>
      </c>
      <c r="G79" s="20" t="s">
        <v>16</v>
      </c>
      <c r="H79" s="20" t="s">
        <v>23</v>
      </c>
      <c r="I79" s="20">
        <v>24</v>
      </c>
      <c r="J79" s="20">
        <v>8000</v>
      </c>
      <c r="K79" s="22">
        <v>0.05</v>
      </c>
      <c r="L79" s="20" t="str">
        <f>_xlfn.XLOOKUP(Sales_Table[[#This Row],[Product ID]],Products[Product ID],Products[Product Name],"N",0)</f>
        <v>Headset</v>
      </c>
      <c r="M79" s="20" t="str">
        <f>_xlfn.XLOOKUP(Sales_Table[[#This Row],[Employee ID]],Employees[Employee ID],Employees[Employee Name],"N",0)</f>
        <v>Priya Sharma</v>
      </c>
      <c r="N79" s="20" t="str">
        <f>_xlfn.XLOOKUP(Sales_Table[[#This Row],[Customer ID]],Table22[Customer ID],Table22[Customer Name])</f>
        <v>Prime Digital</v>
      </c>
      <c r="O79" s="23">
        <f>Sales_Table[[#This Row],[Unit Price]]*Sales_Table[[#This Row],[Quantity]]</f>
        <v>192000</v>
      </c>
      <c r="P79" s="23">
        <f>Sales_Table[[#This Row],[Gross Sales]]*Sales_Table[[#This Row],[Discount %]]</f>
        <v>9600</v>
      </c>
      <c r="Q79" s="23">
        <f>Sales_Table[[#This Row],[Gross Sales]]-Sales_Table[[#This Row],[Discount]]</f>
        <v>182400</v>
      </c>
      <c r="R79" s="23">
        <f>VLOOKUP(Sales_Table[[#This Row],[Product ID]],Products[],5,FALSE)*Sales_Table[[#This Row],[Quantity]]</f>
        <v>124800</v>
      </c>
      <c r="S79" s="23">
        <f>Sales_Table[[#This Row],[Net Sale]]-Sales_Table[[#This Row],[Total Cost]]</f>
        <v>57600</v>
      </c>
      <c r="T79" s="24">
        <f>Sales_Table[[#This Row],[Profit]]/Sales_Table[[#This Row],[Net Sale]]</f>
        <v>0.31578947368421051</v>
      </c>
      <c r="U79" s="23" t="str">
        <f>TEXT(Sales_Table[[#This Row],[Order Date]],"mmmm-YYYY")</f>
        <v>September-2026</v>
      </c>
      <c r="V79" s="23">
        <f>YEAR(Sales_Table[[#This Row],[Month]])</f>
        <v>2026</v>
      </c>
      <c r="W79" s="23" t="str">
        <f>TEXT(Sales_Table[[#This Row],[Order Date]],"DDDD")</f>
        <v>Friday</v>
      </c>
      <c r="X79" s="23" t="str">
        <f>IF(OR(Sales_Table[[#This Row],[Days ]]=$W$5,Sales_Table[[#This Row],[Days ]]=$W$8),"Weekned","Weekday")</f>
        <v>Weekday</v>
      </c>
      <c r="Y79" s="23" t="str">
        <f>IF(Sales_Table[[#This Row],[Order Status]]="Delivered","Y","N")</f>
        <v>Y</v>
      </c>
      <c r="Z79" s="23" t="str">
        <f>IF(Sales_Table[[#This Row],[Order Status]]="Returned","Yes","N")</f>
        <v>N</v>
      </c>
    </row>
    <row r="80" spans="1:26" ht="15.5" x14ac:dyDescent="0.35">
      <c r="A80" s="20" t="s">
        <v>122</v>
      </c>
      <c r="B80" s="21">
        <v>46284</v>
      </c>
      <c r="C80" s="20" t="s">
        <v>49</v>
      </c>
      <c r="D80" s="20" t="s">
        <v>13</v>
      </c>
      <c r="E80" s="20" t="s">
        <v>27</v>
      </c>
      <c r="F80" s="20" t="s">
        <v>28</v>
      </c>
      <c r="G80" s="20" t="s">
        <v>16</v>
      </c>
      <c r="H80" s="20" t="s">
        <v>29</v>
      </c>
      <c r="I80" s="20">
        <v>7</v>
      </c>
      <c r="J80" s="20">
        <v>50000</v>
      </c>
      <c r="K80" s="22">
        <v>0.1</v>
      </c>
      <c r="L80" s="20" t="str">
        <f>_xlfn.XLOOKUP(Sales_Table[[#This Row],[Product ID]],Products[Product ID],Products[Product Name],"N",0)</f>
        <v>Laptop</v>
      </c>
      <c r="M80" s="20" t="str">
        <f>_xlfn.XLOOKUP(Sales_Table[[#This Row],[Employee ID]],Employees[Employee ID],Employees[Employee Name],"N",0)</f>
        <v>Arjun Reddy</v>
      </c>
      <c r="N80" s="20" t="str">
        <f>_xlfn.XLOOKUP(Sales_Table[[#This Row],[Customer ID]],Table22[Customer ID],Table22[Customer Name])</f>
        <v>Smart World</v>
      </c>
      <c r="O80" s="23">
        <f>Sales_Table[[#This Row],[Unit Price]]*Sales_Table[[#This Row],[Quantity]]</f>
        <v>350000</v>
      </c>
      <c r="P80" s="23">
        <f>Sales_Table[[#This Row],[Gross Sales]]*Sales_Table[[#This Row],[Discount %]]</f>
        <v>35000</v>
      </c>
      <c r="Q80" s="23">
        <f>Sales_Table[[#This Row],[Gross Sales]]-Sales_Table[[#This Row],[Discount]]</f>
        <v>315000</v>
      </c>
      <c r="R80" s="23">
        <f>VLOOKUP(Sales_Table[[#This Row],[Product ID]],Products[],5,FALSE)*Sales_Table[[#This Row],[Quantity]]</f>
        <v>273000</v>
      </c>
      <c r="S80" s="23">
        <f>Sales_Table[[#This Row],[Net Sale]]-Sales_Table[[#This Row],[Total Cost]]</f>
        <v>42000</v>
      </c>
      <c r="T80" s="24">
        <f>Sales_Table[[#This Row],[Profit]]/Sales_Table[[#This Row],[Net Sale]]</f>
        <v>0.13333333333333333</v>
      </c>
      <c r="U80" s="23" t="str">
        <f>TEXT(Sales_Table[[#This Row],[Order Date]],"mmmm-YYYY")</f>
        <v>September-2026</v>
      </c>
      <c r="V80" s="23">
        <f>YEAR(Sales_Table[[#This Row],[Month]])</f>
        <v>2026</v>
      </c>
      <c r="W80" s="23" t="str">
        <f>TEXT(Sales_Table[[#This Row],[Order Date]],"DDDD")</f>
        <v>Saturday</v>
      </c>
      <c r="X80" s="23" t="str">
        <f>IF(OR(Sales_Table[[#This Row],[Days ]]=$W$5,Sales_Table[[#This Row],[Days ]]=$W$8),"Weekned","Weekday")</f>
        <v>Weekned</v>
      </c>
      <c r="Y80" s="23" t="str">
        <f>IF(Sales_Table[[#This Row],[Order Status]]="Delivered","Y","N")</f>
        <v>Y</v>
      </c>
      <c r="Z80" s="23" t="str">
        <f>IF(Sales_Table[[#This Row],[Order Status]]="Returned","Yes","N")</f>
        <v>N</v>
      </c>
    </row>
    <row r="81" spans="1:26" ht="15.5" x14ac:dyDescent="0.35">
      <c r="A81" s="20" t="s">
        <v>123</v>
      </c>
      <c r="B81" s="21">
        <v>46285</v>
      </c>
      <c r="C81" s="20" t="s">
        <v>51</v>
      </c>
      <c r="D81" s="20" t="s">
        <v>20</v>
      </c>
      <c r="E81" s="20" t="s">
        <v>33</v>
      </c>
      <c r="F81" s="20" t="s">
        <v>34</v>
      </c>
      <c r="G81" s="20" t="s">
        <v>16</v>
      </c>
      <c r="H81" s="20" t="s">
        <v>17</v>
      </c>
      <c r="I81" s="20">
        <v>16</v>
      </c>
      <c r="J81" s="20">
        <v>25000</v>
      </c>
      <c r="K81" s="22">
        <v>0.15</v>
      </c>
      <c r="L81" s="20" t="str">
        <f>_xlfn.XLOOKUP(Sales_Table[[#This Row],[Product ID]],Products[Product ID],Products[Product Name],"N",0)</f>
        <v>Monitor</v>
      </c>
      <c r="M81" s="20" t="str">
        <f>_xlfn.XLOOKUP(Sales_Table[[#This Row],[Employee ID]],Employees[Employee ID],Employees[Employee Name],"N",0)</f>
        <v>Sneha Patel</v>
      </c>
      <c r="N81" s="20" t="str">
        <f>_xlfn.XLOOKUP(Sales_Table[[#This Row],[Customer ID]],Table22[Customer ID],Table22[Customer Name])</f>
        <v>NextGen Solutions</v>
      </c>
      <c r="O81" s="23">
        <f>Sales_Table[[#This Row],[Unit Price]]*Sales_Table[[#This Row],[Quantity]]</f>
        <v>400000</v>
      </c>
      <c r="P81" s="23">
        <f>Sales_Table[[#This Row],[Gross Sales]]*Sales_Table[[#This Row],[Discount %]]</f>
        <v>60000</v>
      </c>
      <c r="Q81" s="23">
        <f>Sales_Table[[#This Row],[Gross Sales]]-Sales_Table[[#This Row],[Discount]]</f>
        <v>340000</v>
      </c>
      <c r="R81" s="23">
        <f>VLOOKUP(Sales_Table[[#This Row],[Product ID]],Products[],5,FALSE)*Sales_Table[[#This Row],[Quantity]]</f>
        <v>304000</v>
      </c>
      <c r="S81" s="23">
        <f>Sales_Table[[#This Row],[Net Sale]]-Sales_Table[[#This Row],[Total Cost]]</f>
        <v>36000</v>
      </c>
      <c r="T81" s="24">
        <f>Sales_Table[[#This Row],[Profit]]/Sales_Table[[#This Row],[Net Sale]]</f>
        <v>0.10588235294117647</v>
      </c>
      <c r="U81" s="23" t="str">
        <f>TEXT(Sales_Table[[#This Row],[Order Date]],"mmmm-YYYY")</f>
        <v>September-2026</v>
      </c>
      <c r="V81" s="23">
        <f>YEAR(Sales_Table[[#This Row],[Month]])</f>
        <v>2026</v>
      </c>
      <c r="W81" s="23" t="str">
        <f>TEXT(Sales_Table[[#This Row],[Order Date]],"DDDD")</f>
        <v>Sunday</v>
      </c>
      <c r="X81" s="23" t="str">
        <f>IF(OR(Sales_Table[[#This Row],[Days ]]=$W$5,Sales_Table[[#This Row],[Days ]]=$W$8),"Weekned","Weekday")</f>
        <v>Weekned</v>
      </c>
      <c r="Y81" s="23" t="str">
        <f>IF(Sales_Table[[#This Row],[Order Status]]="Delivered","Y","N")</f>
        <v>Y</v>
      </c>
      <c r="Z81" s="23" t="str">
        <f>IF(Sales_Table[[#This Row],[Order Status]]="Returned","Yes","N")</f>
        <v>N</v>
      </c>
    </row>
    <row r="82" spans="1:26" ht="15.5" x14ac:dyDescent="0.35">
      <c r="A82" s="20" t="s">
        <v>124</v>
      </c>
      <c r="B82" s="21">
        <v>46287</v>
      </c>
      <c r="C82" s="20" t="s">
        <v>12</v>
      </c>
      <c r="D82" s="20" t="s">
        <v>26</v>
      </c>
      <c r="E82" s="20" t="s">
        <v>39</v>
      </c>
      <c r="F82" s="20" t="s">
        <v>15</v>
      </c>
      <c r="G82" s="20" t="s">
        <v>16</v>
      </c>
      <c r="H82" s="20" t="s">
        <v>23</v>
      </c>
      <c r="I82" s="20">
        <v>42</v>
      </c>
      <c r="J82" s="20">
        <v>5000</v>
      </c>
      <c r="K82" s="22">
        <v>0.05</v>
      </c>
      <c r="L82" s="20" t="str">
        <f>_xlfn.XLOOKUP(Sales_Table[[#This Row],[Product ID]],Products[Product ID],Products[Product Name],"N",0)</f>
        <v>Keyboard</v>
      </c>
      <c r="M82" s="20" t="str">
        <f>_xlfn.XLOOKUP(Sales_Table[[#This Row],[Employee ID]],Employees[Employee ID],Employees[Employee Name],"N",0)</f>
        <v>Kiran Rao</v>
      </c>
      <c r="N82" s="20" t="str">
        <f>_xlfn.XLOOKUP(Sales_Table[[#This Row],[Customer ID]],Table22[Customer ID],Table22[Customer Name])</f>
        <v>ABC Technologies</v>
      </c>
      <c r="O82" s="23">
        <f>Sales_Table[[#This Row],[Unit Price]]*Sales_Table[[#This Row],[Quantity]]</f>
        <v>210000</v>
      </c>
      <c r="P82" s="23">
        <f>Sales_Table[[#This Row],[Gross Sales]]*Sales_Table[[#This Row],[Discount %]]</f>
        <v>10500</v>
      </c>
      <c r="Q82" s="23">
        <f>Sales_Table[[#This Row],[Gross Sales]]-Sales_Table[[#This Row],[Discount]]</f>
        <v>199500</v>
      </c>
      <c r="R82" s="23">
        <f>VLOOKUP(Sales_Table[[#This Row],[Product ID]],Products[],5,FALSE)*Sales_Table[[#This Row],[Quantity]]</f>
        <v>147000</v>
      </c>
      <c r="S82" s="23">
        <f>Sales_Table[[#This Row],[Net Sale]]-Sales_Table[[#This Row],[Total Cost]]</f>
        <v>52500</v>
      </c>
      <c r="T82" s="24">
        <f>Sales_Table[[#This Row],[Profit]]/Sales_Table[[#This Row],[Net Sale]]</f>
        <v>0.26315789473684209</v>
      </c>
      <c r="U82" s="23" t="str">
        <f>TEXT(Sales_Table[[#This Row],[Order Date]],"mmmm-YYYY")</f>
        <v>September-2026</v>
      </c>
      <c r="V82" s="23">
        <f>YEAR(Sales_Table[[#This Row],[Month]])</f>
        <v>2026</v>
      </c>
      <c r="W82" s="23" t="str">
        <f>TEXT(Sales_Table[[#This Row],[Order Date]],"DDDD")</f>
        <v>Tuesday</v>
      </c>
      <c r="X82" s="23" t="str">
        <f>IF(OR(Sales_Table[[#This Row],[Days ]]=$W$5,Sales_Table[[#This Row],[Days ]]=$W$8),"Weekned","Weekday")</f>
        <v>Weekday</v>
      </c>
      <c r="Y82" s="23" t="str">
        <f>IF(Sales_Table[[#This Row],[Order Status]]="Delivered","Y","N")</f>
        <v>Y</v>
      </c>
      <c r="Z82" s="23" t="str">
        <f>IF(Sales_Table[[#This Row],[Order Status]]="Returned","Yes","N")</f>
        <v>N</v>
      </c>
    </row>
    <row r="83" spans="1:26" ht="15.5" x14ac:dyDescent="0.35">
      <c r="A83" s="20" t="s">
        <v>125</v>
      </c>
      <c r="B83" s="21">
        <v>46289</v>
      </c>
      <c r="C83" s="20" t="s">
        <v>19</v>
      </c>
      <c r="D83" s="20" t="s">
        <v>32</v>
      </c>
      <c r="E83" s="20" t="s">
        <v>43</v>
      </c>
      <c r="F83" s="20" t="s">
        <v>22</v>
      </c>
      <c r="G83" s="20" t="s">
        <v>16</v>
      </c>
      <c r="H83" s="20" t="s">
        <v>35</v>
      </c>
      <c r="I83" s="20">
        <v>50</v>
      </c>
      <c r="J83" s="20">
        <v>2000</v>
      </c>
      <c r="K83" s="22">
        <v>0</v>
      </c>
      <c r="L83" s="20" t="str">
        <f>_xlfn.XLOOKUP(Sales_Table[[#This Row],[Product ID]],Products[Product ID],Products[Product Name],"N",0)</f>
        <v>Mouse</v>
      </c>
      <c r="M83" s="20" t="str">
        <f>_xlfn.XLOOKUP(Sales_Table[[#This Row],[Employee ID]],Employees[Employee ID],Employees[Employee Name],"N",0)</f>
        <v>Anjali Singh</v>
      </c>
      <c r="N83" s="20" t="str">
        <f>_xlfn.XLOOKUP(Sales_Table[[#This Row],[Customer ID]],Table22[Customer ID],Table22[Customer Name])</f>
        <v>Sri Lakshmi Traders</v>
      </c>
      <c r="O83" s="23">
        <f>Sales_Table[[#This Row],[Unit Price]]*Sales_Table[[#This Row],[Quantity]]</f>
        <v>100000</v>
      </c>
      <c r="P83" s="23">
        <f>Sales_Table[[#This Row],[Gross Sales]]*Sales_Table[[#This Row],[Discount %]]</f>
        <v>0</v>
      </c>
      <c r="Q83" s="23">
        <f>Sales_Table[[#This Row],[Gross Sales]]-Sales_Table[[#This Row],[Discount]]</f>
        <v>100000</v>
      </c>
      <c r="R83" s="23">
        <f>VLOOKUP(Sales_Table[[#This Row],[Product ID]],Products[],5,FALSE)*Sales_Table[[#This Row],[Quantity]]</f>
        <v>60000</v>
      </c>
      <c r="S83" s="23">
        <f>Sales_Table[[#This Row],[Net Sale]]-Sales_Table[[#This Row],[Total Cost]]</f>
        <v>40000</v>
      </c>
      <c r="T83" s="24">
        <f>Sales_Table[[#This Row],[Profit]]/Sales_Table[[#This Row],[Net Sale]]</f>
        <v>0.4</v>
      </c>
      <c r="U83" s="23" t="str">
        <f>TEXT(Sales_Table[[#This Row],[Order Date]],"mmmm-YYYY")</f>
        <v>September-2026</v>
      </c>
      <c r="V83" s="23">
        <f>YEAR(Sales_Table[[#This Row],[Month]])</f>
        <v>2026</v>
      </c>
      <c r="W83" s="23" t="str">
        <f>TEXT(Sales_Table[[#This Row],[Order Date]],"DDDD")</f>
        <v>Thursday</v>
      </c>
      <c r="X83" s="23" t="str">
        <f>IF(OR(Sales_Table[[#This Row],[Days ]]=$W$5,Sales_Table[[#This Row],[Days ]]=$W$8),"Weekned","Weekday")</f>
        <v>Weekday</v>
      </c>
      <c r="Y83" s="23" t="str">
        <f>IF(Sales_Table[[#This Row],[Order Status]]="Delivered","Y","N")</f>
        <v>Y</v>
      </c>
      <c r="Z83" s="23" t="str">
        <f>IF(Sales_Table[[#This Row],[Order Status]]="Returned","Yes","N")</f>
        <v>N</v>
      </c>
    </row>
    <row r="84" spans="1:26" ht="15.5" x14ac:dyDescent="0.35">
      <c r="A84" s="20" t="s">
        <v>126</v>
      </c>
      <c r="B84" s="21">
        <v>46291</v>
      </c>
      <c r="C84" s="20" t="s">
        <v>25</v>
      </c>
      <c r="D84" s="20" t="s">
        <v>38</v>
      </c>
      <c r="E84" s="20" t="s">
        <v>14</v>
      </c>
      <c r="F84" s="20" t="s">
        <v>28</v>
      </c>
      <c r="G84" s="20" t="s">
        <v>16</v>
      </c>
      <c r="H84" s="20" t="s">
        <v>29</v>
      </c>
      <c r="I84" s="20">
        <v>12</v>
      </c>
      <c r="J84" s="20">
        <v>35000</v>
      </c>
      <c r="K84" s="22">
        <v>0.1</v>
      </c>
      <c r="L84" s="20" t="str">
        <f>_xlfn.XLOOKUP(Sales_Table[[#This Row],[Product ID]],Products[Product ID],Products[Product Name],"N",0)</f>
        <v>Printer</v>
      </c>
      <c r="M84" s="20" t="str">
        <f>_xlfn.XLOOKUP(Sales_Table[[#This Row],[Employee ID]],Employees[Employee ID],Employees[Employee Name],"N",0)</f>
        <v>Rahul Kumar</v>
      </c>
      <c r="N84" s="20" t="str">
        <f>_xlfn.XLOOKUP(Sales_Table[[#This Row],[Customer ID]],Table22[Customer ID],Table22[Customer Name])</f>
        <v>Vertex Solutions</v>
      </c>
      <c r="O84" s="23">
        <f>Sales_Table[[#This Row],[Unit Price]]*Sales_Table[[#This Row],[Quantity]]</f>
        <v>420000</v>
      </c>
      <c r="P84" s="23">
        <f>Sales_Table[[#This Row],[Gross Sales]]*Sales_Table[[#This Row],[Discount %]]</f>
        <v>42000</v>
      </c>
      <c r="Q84" s="23">
        <f>Sales_Table[[#This Row],[Gross Sales]]-Sales_Table[[#This Row],[Discount]]</f>
        <v>378000</v>
      </c>
      <c r="R84" s="23">
        <f>VLOOKUP(Sales_Table[[#This Row],[Product ID]],Products[],5,FALSE)*Sales_Table[[#This Row],[Quantity]]</f>
        <v>324000</v>
      </c>
      <c r="S84" s="23">
        <f>Sales_Table[[#This Row],[Net Sale]]-Sales_Table[[#This Row],[Total Cost]]</f>
        <v>54000</v>
      </c>
      <c r="T84" s="24">
        <f>Sales_Table[[#This Row],[Profit]]/Sales_Table[[#This Row],[Net Sale]]</f>
        <v>0.14285714285714285</v>
      </c>
      <c r="U84" s="23" t="str">
        <f>TEXT(Sales_Table[[#This Row],[Order Date]],"mmmm-YYYY")</f>
        <v>September-2026</v>
      </c>
      <c r="V84" s="23">
        <f>YEAR(Sales_Table[[#This Row],[Month]])</f>
        <v>2026</v>
      </c>
      <c r="W84" s="23" t="str">
        <f>TEXT(Sales_Table[[#This Row],[Order Date]],"DDDD")</f>
        <v>Saturday</v>
      </c>
      <c r="X84" s="23" t="str">
        <f>IF(OR(Sales_Table[[#This Row],[Days ]]=$W$5,Sales_Table[[#This Row],[Days ]]=$W$8),"Weekned","Weekday")</f>
        <v>Weekned</v>
      </c>
      <c r="Y84" s="23" t="str">
        <f>IF(Sales_Table[[#This Row],[Order Status]]="Delivered","Y","N")</f>
        <v>Y</v>
      </c>
      <c r="Z84" s="23" t="str">
        <f>IF(Sales_Table[[#This Row],[Order Status]]="Returned","Yes","N")</f>
        <v>N</v>
      </c>
    </row>
    <row r="85" spans="1:26" ht="15.5" x14ac:dyDescent="0.35">
      <c r="A85" s="20" t="s">
        <v>127</v>
      </c>
      <c r="B85" s="21">
        <v>46293</v>
      </c>
      <c r="C85" s="20" t="s">
        <v>31</v>
      </c>
      <c r="D85" s="20" t="s">
        <v>42</v>
      </c>
      <c r="E85" s="20" t="s">
        <v>21</v>
      </c>
      <c r="F85" s="20" t="s">
        <v>34</v>
      </c>
      <c r="G85" s="20" t="s">
        <v>16</v>
      </c>
      <c r="H85" s="20" t="s">
        <v>17</v>
      </c>
      <c r="I85" s="20">
        <v>25</v>
      </c>
      <c r="J85" s="20">
        <v>8000</v>
      </c>
      <c r="K85" s="22">
        <v>0.05</v>
      </c>
      <c r="L85" s="20" t="str">
        <f>_xlfn.XLOOKUP(Sales_Table[[#This Row],[Product ID]],Products[Product ID],Products[Product Name],"N",0)</f>
        <v>Headset</v>
      </c>
      <c r="M85" s="20" t="str">
        <f>_xlfn.XLOOKUP(Sales_Table[[#This Row],[Employee ID]],Employees[Employee ID],Employees[Employee Name],"N",0)</f>
        <v>Priya Sharma</v>
      </c>
      <c r="N85" s="20" t="str">
        <f>_xlfn.XLOOKUP(Sales_Table[[#This Row],[Customer ID]],Table22[Customer ID],Table22[Customer Name])</f>
        <v>Royal Enterprises</v>
      </c>
      <c r="O85" s="23">
        <f>Sales_Table[[#This Row],[Unit Price]]*Sales_Table[[#This Row],[Quantity]]</f>
        <v>200000</v>
      </c>
      <c r="P85" s="23">
        <f>Sales_Table[[#This Row],[Gross Sales]]*Sales_Table[[#This Row],[Discount %]]</f>
        <v>10000</v>
      </c>
      <c r="Q85" s="23">
        <f>Sales_Table[[#This Row],[Gross Sales]]-Sales_Table[[#This Row],[Discount]]</f>
        <v>190000</v>
      </c>
      <c r="R85" s="23">
        <f>VLOOKUP(Sales_Table[[#This Row],[Product ID]],Products[],5,FALSE)*Sales_Table[[#This Row],[Quantity]]</f>
        <v>130000</v>
      </c>
      <c r="S85" s="23">
        <f>Sales_Table[[#This Row],[Net Sale]]-Sales_Table[[#This Row],[Total Cost]]</f>
        <v>60000</v>
      </c>
      <c r="T85" s="24">
        <f>Sales_Table[[#This Row],[Profit]]/Sales_Table[[#This Row],[Net Sale]]</f>
        <v>0.31578947368421051</v>
      </c>
      <c r="U85" s="23" t="str">
        <f>TEXT(Sales_Table[[#This Row],[Order Date]],"mmmm-YYYY")</f>
        <v>September-2026</v>
      </c>
      <c r="V85" s="23">
        <f>YEAR(Sales_Table[[#This Row],[Month]])</f>
        <v>2026</v>
      </c>
      <c r="W85" s="23" t="str">
        <f>TEXT(Sales_Table[[#This Row],[Order Date]],"DDDD")</f>
        <v>Monday</v>
      </c>
      <c r="X85" s="23" t="str">
        <f>IF(OR(Sales_Table[[#This Row],[Days ]]=$W$5,Sales_Table[[#This Row],[Days ]]=$W$8),"Weekned","Weekday")</f>
        <v>Weekday</v>
      </c>
      <c r="Y85" s="23" t="str">
        <f>IF(Sales_Table[[#This Row],[Order Status]]="Delivered","Y","N")</f>
        <v>Y</v>
      </c>
      <c r="Z85" s="23" t="str">
        <f>IF(Sales_Table[[#This Row],[Order Status]]="Returned","Yes","N")</f>
        <v>N</v>
      </c>
    </row>
    <row r="86" spans="1:26" ht="15.5" x14ac:dyDescent="0.35">
      <c r="A86" s="20" t="s">
        <v>128</v>
      </c>
      <c r="B86" s="21">
        <v>46296</v>
      </c>
      <c r="C86" s="20" t="s">
        <v>37</v>
      </c>
      <c r="D86" s="20" t="s">
        <v>13</v>
      </c>
      <c r="E86" s="20" t="s">
        <v>27</v>
      </c>
      <c r="F86" s="20" t="s">
        <v>15</v>
      </c>
      <c r="G86" s="20" t="s">
        <v>16</v>
      </c>
      <c r="H86" s="20" t="s">
        <v>23</v>
      </c>
      <c r="I86" s="20">
        <v>6</v>
      </c>
      <c r="J86" s="20">
        <v>50000</v>
      </c>
      <c r="K86" s="22">
        <v>0.08</v>
      </c>
      <c r="L86" s="20" t="str">
        <f>_xlfn.XLOOKUP(Sales_Table[[#This Row],[Product ID]],Products[Product ID],Products[Product Name],"N",0)</f>
        <v>Laptop</v>
      </c>
      <c r="M86" s="20" t="str">
        <f>_xlfn.XLOOKUP(Sales_Table[[#This Row],[Employee ID]],Employees[Employee ID],Employees[Employee Name],"N",0)</f>
        <v>Arjun Reddy</v>
      </c>
      <c r="N86" s="20" t="str">
        <f>_xlfn.XLOOKUP(Sales_Table[[#This Row],[Customer ID]],Table22[Customer ID],Table22[Customer Name])</f>
        <v>TechNova Pvt Ltd</v>
      </c>
      <c r="O86" s="23">
        <f>Sales_Table[[#This Row],[Unit Price]]*Sales_Table[[#This Row],[Quantity]]</f>
        <v>300000</v>
      </c>
      <c r="P86" s="23">
        <f>Sales_Table[[#This Row],[Gross Sales]]*Sales_Table[[#This Row],[Discount %]]</f>
        <v>24000</v>
      </c>
      <c r="Q86" s="23">
        <f>Sales_Table[[#This Row],[Gross Sales]]-Sales_Table[[#This Row],[Discount]]</f>
        <v>276000</v>
      </c>
      <c r="R86" s="23">
        <f>VLOOKUP(Sales_Table[[#This Row],[Product ID]],Products[],5,FALSE)*Sales_Table[[#This Row],[Quantity]]</f>
        <v>234000</v>
      </c>
      <c r="S86" s="23">
        <f>Sales_Table[[#This Row],[Net Sale]]-Sales_Table[[#This Row],[Total Cost]]</f>
        <v>42000</v>
      </c>
      <c r="T86" s="24">
        <f>Sales_Table[[#This Row],[Profit]]/Sales_Table[[#This Row],[Net Sale]]</f>
        <v>0.15217391304347827</v>
      </c>
      <c r="U86" s="23" t="str">
        <f>TEXT(Sales_Table[[#This Row],[Order Date]],"mmmm-YYYY")</f>
        <v>October-2026</v>
      </c>
      <c r="V86" s="23">
        <f>YEAR(Sales_Table[[#This Row],[Month]])</f>
        <v>2026</v>
      </c>
      <c r="W86" s="23" t="str">
        <f>TEXT(Sales_Table[[#This Row],[Order Date]],"DDDD")</f>
        <v>Thursday</v>
      </c>
      <c r="X86" s="23" t="str">
        <f>IF(OR(Sales_Table[[#This Row],[Days ]]=$W$5,Sales_Table[[#This Row],[Days ]]=$W$8),"Weekned","Weekday")</f>
        <v>Weekday</v>
      </c>
      <c r="Y86" s="23" t="str">
        <f>IF(Sales_Table[[#This Row],[Order Status]]="Delivered","Y","N")</f>
        <v>Y</v>
      </c>
      <c r="Z86" s="23" t="str">
        <f>IF(Sales_Table[[#This Row],[Order Status]]="Returned","Yes","N")</f>
        <v>N</v>
      </c>
    </row>
    <row r="87" spans="1:26" ht="15.5" x14ac:dyDescent="0.35">
      <c r="A87" s="20" t="s">
        <v>129</v>
      </c>
      <c r="B87" s="21">
        <v>46298</v>
      </c>
      <c r="C87" s="20" t="s">
        <v>41</v>
      </c>
      <c r="D87" s="20" t="s">
        <v>20</v>
      </c>
      <c r="E87" s="20" t="s">
        <v>33</v>
      </c>
      <c r="F87" s="20" t="s">
        <v>22</v>
      </c>
      <c r="G87" s="20" t="s">
        <v>16</v>
      </c>
      <c r="H87" s="20" t="s">
        <v>29</v>
      </c>
      <c r="I87" s="20">
        <v>19</v>
      </c>
      <c r="J87" s="20">
        <v>25000</v>
      </c>
      <c r="K87" s="22">
        <v>0.1</v>
      </c>
      <c r="L87" s="20" t="str">
        <f>_xlfn.XLOOKUP(Sales_Table[[#This Row],[Product ID]],Products[Product ID],Products[Product Name],"N",0)</f>
        <v>Monitor</v>
      </c>
      <c r="M87" s="20" t="str">
        <f>_xlfn.XLOOKUP(Sales_Table[[#This Row],[Employee ID]],Employees[Employee ID],Employees[Employee Name],"N",0)</f>
        <v>Sneha Patel</v>
      </c>
      <c r="N87" s="20" t="str">
        <f>_xlfn.XLOOKUP(Sales_Table[[#This Row],[Customer ID]],Table22[Customer ID],Table22[Customer Name])</f>
        <v>Metro Computers</v>
      </c>
      <c r="O87" s="23">
        <f>Sales_Table[[#This Row],[Unit Price]]*Sales_Table[[#This Row],[Quantity]]</f>
        <v>475000</v>
      </c>
      <c r="P87" s="23">
        <f>Sales_Table[[#This Row],[Gross Sales]]*Sales_Table[[#This Row],[Discount %]]</f>
        <v>47500</v>
      </c>
      <c r="Q87" s="23">
        <f>Sales_Table[[#This Row],[Gross Sales]]-Sales_Table[[#This Row],[Discount]]</f>
        <v>427500</v>
      </c>
      <c r="R87" s="23">
        <f>VLOOKUP(Sales_Table[[#This Row],[Product ID]],Products[],5,FALSE)*Sales_Table[[#This Row],[Quantity]]</f>
        <v>361000</v>
      </c>
      <c r="S87" s="23">
        <f>Sales_Table[[#This Row],[Net Sale]]-Sales_Table[[#This Row],[Total Cost]]</f>
        <v>66500</v>
      </c>
      <c r="T87" s="24">
        <f>Sales_Table[[#This Row],[Profit]]/Sales_Table[[#This Row],[Net Sale]]</f>
        <v>0.15555555555555556</v>
      </c>
      <c r="U87" s="23" t="str">
        <f>TEXT(Sales_Table[[#This Row],[Order Date]],"mmmm-YYYY")</f>
        <v>October-2026</v>
      </c>
      <c r="V87" s="23">
        <f>YEAR(Sales_Table[[#This Row],[Month]])</f>
        <v>2026</v>
      </c>
      <c r="W87" s="23" t="str">
        <f>TEXT(Sales_Table[[#This Row],[Order Date]],"DDDD")</f>
        <v>Saturday</v>
      </c>
      <c r="X87" s="23" t="str">
        <f>IF(OR(Sales_Table[[#This Row],[Days ]]=$W$5,Sales_Table[[#This Row],[Days ]]=$W$8),"Weekned","Weekday")</f>
        <v>Weekned</v>
      </c>
      <c r="Y87" s="23" t="str">
        <f>IF(Sales_Table[[#This Row],[Order Status]]="Delivered","Y","N")</f>
        <v>Y</v>
      </c>
      <c r="Z87" s="23" t="str">
        <f>IF(Sales_Table[[#This Row],[Order Status]]="Returned","Yes","N")</f>
        <v>N</v>
      </c>
    </row>
    <row r="88" spans="1:26" ht="15.5" x14ac:dyDescent="0.35">
      <c r="A88" s="20" t="s">
        <v>130</v>
      </c>
      <c r="B88" s="21">
        <v>46300</v>
      </c>
      <c r="C88" s="20" t="s">
        <v>45</v>
      </c>
      <c r="D88" s="20" t="s">
        <v>26</v>
      </c>
      <c r="E88" s="20" t="s">
        <v>39</v>
      </c>
      <c r="F88" s="20" t="s">
        <v>28</v>
      </c>
      <c r="G88" s="20" t="s">
        <v>16</v>
      </c>
      <c r="H88" s="20" t="s">
        <v>17</v>
      </c>
      <c r="I88" s="20">
        <v>38</v>
      </c>
      <c r="J88" s="20">
        <v>5000</v>
      </c>
      <c r="K88" s="22">
        <v>0.05</v>
      </c>
      <c r="L88" s="20" t="str">
        <f>_xlfn.XLOOKUP(Sales_Table[[#This Row],[Product ID]],Products[Product ID],Products[Product Name],"N",0)</f>
        <v>Keyboard</v>
      </c>
      <c r="M88" s="20" t="str">
        <f>_xlfn.XLOOKUP(Sales_Table[[#This Row],[Employee ID]],Employees[Employee ID],Employees[Employee Name],"N",0)</f>
        <v>Kiran Rao</v>
      </c>
      <c r="N88" s="20" t="str">
        <f>_xlfn.XLOOKUP(Sales_Table[[#This Row],[Customer ID]],Table22[Customer ID],Table22[Customer Name])</f>
        <v>Future Systems</v>
      </c>
      <c r="O88" s="23">
        <f>Sales_Table[[#This Row],[Unit Price]]*Sales_Table[[#This Row],[Quantity]]</f>
        <v>190000</v>
      </c>
      <c r="P88" s="23">
        <f>Sales_Table[[#This Row],[Gross Sales]]*Sales_Table[[#This Row],[Discount %]]</f>
        <v>9500</v>
      </c>
      <c r="Q88" s="23">
        <f>Sales_Table[[#This Row],[Gross Sales]]-Sales_Table[[#This Row],[Discount]]</f>
        <v>180500</v>
      </c>
      <c r="R88" s="23">
        <f>VLOOKUP(Sales_Table[[#This Row],[Product ID]],Products[],5,FALSE)*Sales_Table[[#This Row],[Quantity]]</f>
        <v>133000</v>
      </c>
      <c r="S88" s="23">
        <f>Sales_Table[[#This Row],[Net Sale]]-Sales_Table[[#This Row],[Total Cost]]</f>
        <v>47500</v>
      </c>
      <c r="T88" s="24">
        <f>Sales_Table[[#This Row],[Profit]]/Sales_Table[[#This Row],[Net Sale]]</f>
        <v>0.26315789473684209</v>
      </c>
      <c r="U88" s="23" t="str">
        <f>TEXT(Sales_Table[[#This Row],[Order Date]],"mmmm-YYYY")</f>
        <v>October-2026</v>
      </c>
      <c r="V88" s="23">
        <f>YEAR(Sales_Table[[#This Row],[Month]])</f>
        <v>2026</v>
      </c>
      <c r="W88" s="23" t="str">
        <f>TEXT(Sales_Table[[#This Row],[Order Date]],"DDDD")</f>
        <v>Monday</v>
      </c>
      <c r="X88" s="23" t="str">
        <f>IF(OR(Sales_Table[[#This Row],[Days ]]=$W$5,Sales_Table[[#This Row],[Days ]]=$W$8),"Weekned","Weekday")</f>
        <v>Weekday</v>
      </c>
      <c r="Y88" s="23" t="str">
        <f>IF(Sales_Table[[#This Row],[Order Status]]="Delivered","Y","N")</f>
        <v>Y</v>
      </c>
      <c r="Z88" s="23" t="str">
        <f>IF(Sales_Table[[#This Row],[Order Status]]="Returned","Yes","N")</f>
        <v>N</v>
      </c>
    </row>
    <row r="89" spans="1:26" ht="15.5" x14ac:dyDescent="0.35">
      <c r="A89" s="20" t="s">
        <v>131</v>
      </c>
      <c r="B89" s="21">
        <v>46303</v>
      </c>
      <c r="C89" s="20" t="s">
        <v>47</v>
      </c>
      <c r="D89" s="20" t="s">
        <v>32</v>
      </c>
      <c r="E89" s="20" t="s">
        <v>43</v>
      </c>
      <c r="F89" s="20" t="s">
        <v>34</v>
      </c>
      <c r="G89" s="20" t="s">
        <v>16</v>
      </c>
      <c r="H89" s="20" t="s">
        <v>35</v>
      </c>
      <c r="I89" s="20">
        <v>55</v>
      </c>
      <c r="J89" s="20">
        <v>2000</v>
      </c>
      <c r="K89" s="22">
        <v>0</v>
      </c>
      <c r="L89" s="20" t="str">
        <f>_xlfn.XLOOKUP(Sales_Table[[#This Row],[Product ID]],Products[Product ID],Products[Product Name],"N",0)</f>
        <v>Mouse</v>
      </c>
      <c r="M89" s="20" t="str">
        <f>_xlfn.XLOOKUP(Sales_Table[[#This Row],[Employee ID]],Employees[Employee ID],Employees[Employee Name],"N",0)</f>
        <v>Anjali Singh</v>
      </c>
      <c r="N89" s="20" t="str">
        <f>_xlfn.XLOOKUP(Sales_Table[[#This Row],[Customer ID]],Table22[Customer ID],Table22[Customer Name])</f>
        <v>Prime Digital</v>
      </c>
      <c r="O89" s="23">
        <f>Sales_Table[[#This Row],[Unit Price]]*Sales_Table[[#This Row],[Quantity]]</f>
        <v>110000</v>
      </c>
      <c r="P89" s="23">
        <f>Sales_Table[[#This Row],[Gross Sales]]*Sales_Table[[#This Row],[Discount %]]</f>
        <v>0</v>
      </c>
      <c r="Q89" s="23">
        <f>Sales_Table[[#This Row],[Gross Sales]]-Sales_Table[[#This Row],[Discount]]</f>
        <v>110000</v>
      </c>
      <c r="R89" s="23">
        <f>VLOOKUP(Sales_Table[[#This Row],[Product ID]],Products[],5,FALSE)*Sales_Table[[#This Row],[Quantity]]</f>
        <v>66000</v>
      </c>
      <c r="S89" s="23">
        <f>Sales_Table[[#This Row],[Net Sale]]-Sales_Table[[#This Row],[Total Cost]]</f>
        <v>44000</v>
      </c>
      <c r="T89" s="24">
        <f>Sales_Table[[#This Row],[Profit]]/Sales_Table[[#This Row],[Net Sale]]</f>
        <v>0.4</v>
      </c>
      <c r="U89" s="23" t="str">
        <f>TEXT(Sales_Table[[#This Row],[Order Date]],"mmmm-YYYY")</f>
        <v>October-2026</v>
      </c>
      <c r="V89" s="23">
        <f>YEAR(Sales_Table[[#This Row],[Month]])</f>
        <v>2026</v>
      </c>
      <c r="W89" s="23" t="str">
        <f>TEXT(Sales_Table[[#This Row],[Order Date]],"DDDD")</f>
        <v>Thursday</v>
      </c>
      <c r="X89" s="23" t="str">
        <f>IF(OR(Sales_Table[[#This Row],[Days ]]=$W$5,Sales_Table[[#This Row],[Days ]]=$W$8),"Weekned","Weekday")</f>
        <v>Weekday</v>
      </c>
      <c r="Y89" s="23" t="str">
        <f>IF(Sales_Table[[#This Row],[Order Status]]="Delivered","Y","N")</f>
        <v>Y</v>
      </c>
      <c r="Z89" s="23" t="str">
        <f>IF(Sales_Table[[#This Row],[Order Status]]="Returned","Yes","N")</f>
        <v>N</v>
      </c>
    </row>
    <row r="90" spans="1:26" ht="15.5" x14ac:dyDescent="0.35">
      <c r="A90" s="20" t="s">
        <v>132</v>
      </c>
      <c r="B90" s="21">
        <v>46305</v>
      </c>
      <c r="C90" s="20" t="s">
        <v>49</v>
      </c>
      <c r="D90" s="20" t="s">
        <v>38</v>
      </c>
      <c r="E90" s="20" t="s">
        <v>14</v>
      </c>
      <c r="F90" s="20" t="s">
        <v>15</v>
      </c>
      <c r="G90" s="20" t="s">
        <v>16</v>
      </c>
      <c r="H90" s="20" t="s">
        <v>17</v>
      </c>
      <c r="I90" s="20">
        <v>10</v>
      </c>
      <c r="J90" s="20">
        <v>35000</v>
      </c>
      <c r="K90" s="22">
        <v>0.12</v>
      </c>
      <c r="L90" s="20" t="str">
        <f>_xlfn.XLOOKUP(Sales_Table[[#This Row],[Product ID]],Products[Product ID],Products[Product Name],"N",0)</f>
        <v>Printer</v>
      </c>
      <c r="M90" s="20" t="str">
        <f>_xlfn.XLOOKUP(Sales_Table[[#This Row],[Employee ID]],Employees[Employee ID],Employees[Employee Name],"N",0)</f>
        <v>Rahul Kumar</v>
      </c>
      <c r="N90" s="20" t="str">
        <f>_xlfn.XLOOKUP(Sales_Table[[#This Row],[Customer ID]],Table22[Customer ID],Table22[Customer Name])</f>
        <v>Smart World</v>
      </c>
      <c r="O90" s="23">
        <f>Sales_Table[[#This Row],[Unit Price]]*Sales_Table[[#This Row],[Quantity]]</f>
        <v>350000</v>
      </c>
      <c r="P90" s="23">
        <f>Sales_Table[[#This Row],[Gross Sales]]*Sales_Table[[#This Row],[Discount %]]</f>
        <v>42000</v>
      </c>
      <c r="Q90" s="23">
        <f>Sales_Table[[#This Row],[Gross Sales]]-Sales_Table[[#This Row],[Discount]]</f>
        <v>308000</v>
      </c>
      <c r="R90" s="23">
        <f>VLOOKUP(Sales_Table[[#This Row],[Product ID]],Products[],5,FALSE)*Sales_Table[[#This Row],[Quantity]]</f>
        <v>270000</v>
      </c>
      <c r="S90" s="23">
        <f>Sales_Table[[#This Row],[Net Sale]]-Sales_Table[[#This Row],[Total Cost]]</f>
        <v>38000</v>
      </c>
      <c r="T90" s="24">
        <f>Sales_Table[[#This Row],[Profit]]/Sales_Table[[#This Row],[Net Sale]]</f>
        <v>0.12337662337662338</v>
      </c>
      <c r="U90" s="23" t="str">
        <f>TEXT(Sales_Table[[#This Row],[Order Date]],"mmmm-YYYY")</f>
        <v>October-2026</v>
      </c>
      <c r="V90" s="23">
        <f>YEAR(Sales_Table[[#This Row],[Month]])</f>
        <v>2026</v>
      </c>
      <c r="W90" s="23" t="str">
        <f>TEXT(Sales_Table[[#This Row],[Order Date]],"DDDD")</f>
        <v>Saturday</v>
      </c>
      <c r="X90" s="23" t="str">
        <f>IF(OR(Sales_Table[[#This Row],[Days ]]=$W$5,Sales_Table[[#This Row],[Days ]]=$W$8),"Weekned","Weekday")</f>
        <v>Weekned</v>
      </c>
      <c r="Y90" s="23" t="str">
        <f>IF(Sales_Table[[#This Row],[Order Status]]="Delivered","Y","N")</f>
        <v>Y</v>
      </c>
      <c r="Z90" s="23" t="str">
        <f>IF(Sales_Table[[#This Row],[Order Status]]="Returned","Yes","N")</f>
        <v>N</v>
      </c>
    </row>
    <row r="91" spans="1:26" ht="15.5" x14ac:dyDescent="0.35">
      <c r="A91" s="20" t="s">
        <v>133</v>
      </c>
      <c r="B91" s="21">
        <v>46307</v>
      </c>
      <c r="C91" s="20" t="s">
        <v>51</v>
      </c>
      <c r="D91" s="20" t="s">
        <v>42</v>
      </c>
      <c r="E91" s="20" t="s">
        <v>21</v>
      </c>
      <c r="F91" s="20" t="s">
        <v>22</v>
      </c>
      <c r="G91" s="20" t="s">
        <v>16</v>
      </c>
      <c r="H91" s="20" t="s">
        <v>23</v>
      </c>
      <c r="I91" s="20">
        <v>26</v>
      </c>
      <c r="J91" s="20">
        <v>8000</v>
      </c>
      <c r="K91" s="22">
        <v>0.05</v>
      </c>
      <c r="L91" s="20" t="str">
        <f>_xlfn.XLOOKUP(Sales_Table[[#This Row],[Product ID]],Products[Product ID],Products[Product Name],"N",0)</f>
        <v>Headset</v>
      </c>
      <c r="M91" s="20" t="str">
        <f>_xlfn.XLOOKUP(Sales_Table[[#This Row],[Employee ID]],Employees[Employee ID],Employees[Employee Name],"N",0)</f>
        <v>Priya Sharma</v>
      </c>
      <c r="N91" s="20" t="str">
        <f>_xlfn.XLOOKUP(Sales_Table[[#This Row],[Customer ID]],Table22[Customer ID],Table22[Customer Name])</f>
        <v>NextGen Solutions</v>
      </c>
      <c r="O91" s="23">
        <f>Sales_Table[[#This Row],[Unit Price]]*Sales_Table[[#This Row],[Quantity]]</f>
        <v>208000</v>
      </c>
      <c r="P91" s="23">
        <f>Sales_Table[[#This Row],[Gross Sales]]*Sales_Table[[#This Row],[Discount %]]</f>
        <v>10400</v>
      </c>
      <c r="Q91" s="23">
        <f>Sales_Table[[#This Row],[Gross Sales]]-Sales_Table[[#This Row],[Discount]]</f>
        <v>197600</v>
      </c>
      <c r="R91" s="23">
        <f>VLOOKUP(Sales_Table[[#This Row],[Product ID]],Products[],5,FALSE)*Sales_Table[[#This Row],[Quantity]]</f>
        <v>135200</v>
      </c>
      <c r="S91" s="23">
        <f>Sales_Table[[#This Row],[Net Sale]]-Sales_Table[[#This Row],[Total Cost]]</f>
        <v>62400</v>
      </c>
      <c r="T91" s="24">
        <f>Sales_Table[[#This Row],[Profit]]/Sales_Table[[#This Row],[Net Sale]]</f>
        <v>0.31578947368421051</v>
      </c>
      <c r="U91" s="23" t="str">
        <f>TEXT(Sales_Table[[#This Row],[Order Date]],"mmmm-YYYY")</f>
        <v>October-2026</v>
      </c>
      <c r="V91" s="23">
        <f>YEAR(Sales_Table[[#This Row],[Month]])</f>
        <v>2026</v>
      </c>
      <c r="W91" s="23" t="str">
        <f>TEXT(Sales_Table[[#This Row],[Order Date]],"DDDD")</f>
        <v>Monday</v>
      </c>
      <c r="X91" s="23" t="str">
        <f>IF(OR(Sales_Table[[#This Row],[Days ]]=$W$5,Sales_Table[[#This Row],[Days ]]=$W$8),"Weekned","Weekday")</f>
        <v>Weekday</v>
      </c>
      <c r="Y91" s="23" t="str">
        <f>IF(Sales_Table[[#This Row],[Order Status]]="Delivered","Y","N")</f>
        <v>Y</v>
      </c>
      <c r="Z91" s="23" t="str">
        <f>IF(Sales_Table[[#This Row],[Order Status]]="Returned","Yes","N")</f>
        <v>N</v>
      </c>
    </row>
    <row r="92" spans="1:26" ht="15.5" x14ac:dyDescent="0.35">
      <c r="A92" s="20" t="s">
        <v>134</v>
      </c>
      <c r="B92" s="21">
        <v>46310</v>
      </c>
      <c r="C92" s="20" t="s">
        <v>12</v>
      </c>
      <c r="D92" s="20" t="s">
        <v>13</v>
      </c>
      <c r="E92" s="20" t="s">
        <v>27</v>
      </c>
      <c r="F92" s="20" t="s">
        <v>15</v>
      </c>
      <c r="G92" s="20" t="s">
        <v>16</v>
      </c>
      <c r="H92" s="20" t="s">
        <v>29</v>
      </c>
      <c r="I92" s="20">
        <v>8</v>
      </c>
      <c r="J92" s="20">
        <v>50000</v>
      </c>
      <c r="K92" s="22">
        <v>0.1</v>
      </c>
      <c r="L92" s="20" t="str">
        <f>_xlfn.XLOOKUP(Sales_Table[[#This Row],[Product ID]],Products[Product ID],Products[Product Name],"N",0)</f>
        <v>Laptop</v>
      </c>
      <c r="M92" s="20" t="str">
        <f>_xlfn.XLOOKUP(Sales_Table[[#This Row],[Employee ID]],Employees[Employee ID],Employees[Employee Name],"N",0)</f>
        <v>Arjun Reddy</v>
      </c>
      <c r="N92" s="20" t="str">
        <f>_xlfn.XLOOKUP(Sales_Table[[#This Row],[Customer ID]],Table22[Customer ID],Table22[Customer Name])</f>
        <v>ABC Technologies</v>
      </c>
      <c r="O92" s="23">
        <f>Sales_Table[[#This Row],[Unit Price]]*Sales_Table[[#This Row],[Quantity]]</f>
        <v>400000</v>
      </c>
      <c r="P92" s="23">
        <f>Sales_Table[[#This Row],[Gross Sales]]*Sales_Table[[#This Row],[Discount %]]</f>
        <v>40000</v>
      </c>
      <c r="Q92" s="23">
        <f>Sales_Table[[#This Row],[Gross Sales]]-Sales_Table[[#This Row],[Discount]]</f>
        <v>360000</v>
      </c>
      <c r="R92" s="23">
        <f>VLOOKUP(Sales_Table[[#This Row],[Product ID]],Products[],5,FALSE)*Sales_Table[[#This Row],[Quantity]]</f>
        <v>312000</v>
      </c>
      <c r="S92" s="23">
        <f>Sales_Table[[#This Row],[Net Sale]]-Sales_Table[[#This Row],[Total Cost]]</f>
        <v>48000</v>
      </c>
      <c r="T92" s="24">
        <f>Sales_Table[[#This Row],[Profit]]/Sales_Table[[#This Row],[Net Sale]]</f>
        <v>0.13333333333333333</v>
      </c>
      <c r="U92" s="23" t="str">
        <f>TEXT(Sales_Table[[#This Row],[Order Date]],"mmmm-YYYY")</f>
        <v>October-2026</v>
      </c>
      <c r="V92" s="23">
        <f>YEAR(Sales_Table[[#This Row],[Month]])</f>
        <v>2026</v>
      </c>
      <c r="W92" s="23" t="str">
        <f>TEXT(Sales_Table[[#This Row],[Order Date]],"DDDD")</f>
        <v>Thursday</v>
      </c>
      <c r="X92" s="23" t="str">
        <f>IF(OR(Sales_Table[[#This Row],[Days ]]=$W$5,Sales_Table[[#This Row],[Days ]]=$W$8),"Weekned","Weekday")</f>
        <v>Weekday</v>
      </c>
      <c r="Y92" s="23" t="str">
        <f>IF(Sales_Table[[#This Row],[Order Status]]="Delivered","Y","N")</f>
        <v>Y</v>
      </c>
      <c r="Z92" s="23" t="str">
        <f>IF(Sales_Table[[#This Row],[Order Status]]="Returned","Yes","N")</f>
        <v>N</v>
      </c>
    </row>
    <row r="93" spans="1:26" ht="15.5" x14ac:dyDescent="0.35">
      <c r="A93" s="20" t="s">
        <v>135</v>
      </c>
      <c r="B93" s="21">
        <v>46313</v>
      </c>
      <c r="C93" s="20" t="s">
        <v>19</v>
      </c>
      <c r="D93" s="20" t="s">
        <v>20</v>
      </c>
      <c r="E93" s="20" t="s">
        <v>33</v>
      </c>
      <c r="F93" s="20" t="s">
        <v>22</v>
      </c>
      <c r="G93" s="20" t="s">
        <v>16</v>
      </c>
      <c r="H93" s="20" t="s">
        <v>17</v>
      </c>
      <c r="I93" s="20">
        <v>21</v>
      </c>
      <c r="J93" s="20">
        <v>25000</v>
      </c>
      <c r="K93" s="22">
        <v>0.12</v>
      </c>
      <c r="L93" s="20" t="str">
        <f>_xlfn.XLOOKUP(Sales_Table[[#This Row],[Product ID]],Products[Product ID],Products[Product Name],"N",0)</f>
        <v>Monitor</v>
      </c>
      <c r="M93" s="20" t="str">
        <f>_xlfn.XLOOKUP(Sales_Table[[#This Row],[Employee ID]],Employees[Employee ID],Employees[Employee Name],"N",0)</f>
        <v>Sneha Patel</v>
      </c>
      <c r="N93" s="20" t="str">
        <f>_xlfn.XLOOKUP(Sales_Table[[#This Row],[Customer ID]],Table22[Customer ID],Table22[Customer Name])</f>
        <v>Sri Lakshmi Traders</v>
      </c>
      <c r="O93" s="23">
        <f>Sales_Table[[#This Row],[Unit Price]]*Sales_Table[[#This Row],[Quantity]]</f>
        <v>525000</v>
      </c>
      <c r="P93" s="23">
        <f>Sales_Table[[#This Row],[Gross Sales]]*Sales_Table[[#This Row],[Discount %]]</f>
        <v>63000</v>
      </c>
      <c r="Q93" s="23">
        <f>Sales_Table[[#This Row],[Gross Sales]]-Sales_Table[[#This Row],[Discount]]</f>
        <v>462000</v>
      </c>
      <c r="R93" s="23">
        <f>VLOOKUP(Sales_Table[[#This Row],[Product ID]],Products[],5,FALSE)*Sales_Table[[#This Row],[Quantity]]</f>
        <v>399000</v>
      </c>
      <c r="S93" s="23">
        <f>Sales_Table[[#This Row],[Net Sale]]-Sales_Table[[#This Row],[Total Cost]]</f>
        <v>63000</v>
      </c>
      <c r="T93" s="24">
        <f>Sales_Table[[#This Row],[Profit]]/Sales_Table[[#This Row],[Net Sale]]</f>
        <v>0.13636363636363635</v>
      </c>
      <c r="U93" s="23" t="str">
        <f>TEXT(Sales_Table[[#This Row],[Order Date]],"mmmm-YYYY")</f>
        <v>October-2026</v>
      </c>
      <c r="V93" s="23">
        <f>YEAR(Sales_Table[[#This Row],[Month]])</f>
        <v>2026</v>
      </c>
      <c r="W93" s="23" t="str">
        <f>TEXT(Sales_Table[[#This Row],[Order Date]],"DDDD")</f>
        <v>Sunday</v>
      </c>
      <c r="X93" s="23" t="str">
        <f>IF(OR(Sales_Table[[#This Row],[Days ]]=$W$5,Sales_Table[[#This Row],[Days ]]=$W$8),"Weekned","Weekday")</f>
        <v>Weekned</v>
      </c>
      <c r="Y93" s="23" t="str">
        <f>IF(Sales_Table[[#This Row],[Order Status]]="Delivered","Y","N")</f>
        <v>Y</v>
      </c>
      <c r="Z93" s="23" t="str">
        <f>IF(Sales_Table[[#This Row],[Order Status]]="Returned","Yes","N")</f>
        <v>N</v>
      </c>
    </row>
    <row r="94" spans="1:26" ht="15.5" x14ac:dyDescent="0.35">
      <c r="A94" s="20" t="s">
        <v>136</v>
      </c>
      <c r="B94" s="21">
        <v>46315</v>
      </c>
      <c r="C94" s="20" t="s">
        <v>25</v>
      </c>
      <c r="D94" s="20" t="s">
        <v>26</v>
      </c>
      <c r="E94" s="20" t="s">
        <v>39</v>
      </c>
      <c r="F94" s="20" t="s">
        <v>28</v>
      </c>
      <c r="G94" s="20" t="s">
        <v>16</v>
      </c>
      <c r="H94" s="20" t="s">
        <v>23</v>
      </c>
      <c r="I94" s="20">
        <v>32</v>
      </c>
      <c r="J94" s="20">
        <v>5000</v>
      </c>
      <c r="K94" s="22">
        <v>0.05</v>
      </c>
      <c r="L94" s="20" t="str">
        <f>_xlfn.XLOOKUP(Sales_Table[[#This Row],[Product ID]],Products[Product ID],Products[Product Name],"N",0)</f>
        <v>Keyboard</v>
      </c>
      <c r="M94" s="20" t="str">
        <f>_xlfn.XLOOKUP(Sales_Table[[#This Row],[Employee ID]],Employees[Employee ID],Employees[Employee Name],"N",0)</f>
        <v>Kiran Rao</v>
      </c>
      <c r="N94" s="20" t="str">
        <f>_xlfn.XLOOKUP(Sales_Table[[#This Row],[Customer ID]],Table22[Customer ID],Table22[Customer Name])</f>
        <v>Vertex Solutions</v>
      </c>
      <c r="O94" s="23">
        <f>Sales_Table[[#This Row],[Unit Price]]*Sales_Table[[#This Row],[Quantity]]</f>
        <v>160000</v>
      </c>
      <c r="P94" s="23">
        <f>Sales_Table[[#This Row],[Gross Sales]]*Sales_Table[[#This Row],[Discount %]]</f>
        <v>8000</v>
      </c>
      <c r="Q94" s="23">
        <f>Sales_Table[[#This Row],[Gross Sales]]-Sales_Table[[#This Row],[Discount]]</f>
        <v>152000</v>
      </c>
      <c r="R94" s="23">
        <f>VLOOKUP(Sales_Table[[#This Row],[Product ID]],Products[],5,FALSE)*Sales_Table[[#This Row],[Quantity]]</f>
        <v>112000</v>
      </c>
      <c r="S94" s="23">
        <f>Sales_Table[[#This Row],[Net Sale]]-Sales_Table[[#This Row],[Total Cost]]</f>
        <v>40000</v>
      </c>
      <c r="T94" s="24">
        <f>Sales_Table[[#This Row],[Profit]]/Sales_Table[[#This Row],[Net Sale]]</f>
        <v>0.26315789473684209</v>
      </c>
      <c r="U94" s="23" t="str">
        <f>TEXT(Sales_Table[[#This Row],[Order Date]],"mmmm-YYYY")</f>
        <v>October-2026</v>
      </c>
      <c r="V94" s="23">
        <f>YEAR(Sales_Table[[#This Row],[Month]])</f>
        <v>2026</v>
      </c>
      <c r="W94" s="23" t="str">
        <f>TEXT(Sales_Table[[#This Row],[Order Date]],"DDDD")</f>
        <v>Tuesday</v>
      </c>
      <c r="X94" s="23" t="str">
        <f>IF(OR(Sales_Table[[#This Row],[Days ]]=$W$5,Sales_Table[[#This Row],[Days ]]=$W$8),"Weekned","Weekday")</f>
        <v>Weekday</v>
      </c>
      <c r="Y94" s="23" t="str">
        <f>IF(Sales_Table[[#This Row],[Order Status]]="Delivered","Y","N")</f>
        <v>Y</v>
      </c>
      <c r="Z94" s="23" t="str">
        <f>IF(Sales_Table[[#This Row],[Order Status]]="Returned","Yes","N")</f>
        <v>N</v>
      </c>
    </row>
    <row r="95" spans="1:26" ht="15.5" x14ac:dyDescent="0.35">
      <c r="A95" s="20" t="s">
        <v>137</v>
      </c>
      <c r="B95" s="21">
        <v>46317</v>
      </c>
      <c r="C95" s="20" t="s">
        <v>31</v>
      </c>
      <c r="D95" s="20" t="s">
        <v>32</v>
      </c>
      <c r="E95" s="20" t="s">
        <v>43</v>
      </c>
      <c r="F95" s="20" t="s">
        <v>34</v>
      </c>
      <c r="G95" s="20" t="s">
        <v>16</v>
      </c>
      <c r="H95" s="20" t="s">
        <v>35</v>
      </c>
      <c r="I95" s="20">
        <v>48</v>
      </c>
      <c r="J95" s="20">
        <v>2000</v>
      </c>
      <c r="K95" s="22">
        <v>0</v>
      </c>
      <c r="L95" s="20" t="str">
        <f>_xlfn.XLOOKUP(Sales_Table[[#This Row],[Product ID]],Products[Product ID],Products[Product Name],"N",0)</f>
        <v>Mouse</v>
      </c>
      <c r="M95" s="20" t="str">
        <f>_xlfn.XLOOKUP(Sales_Table[[#This Row],[Employee ID]],Employees[Employee ID],Employees[Employee Name],"N",0)</f>
        <v>Anjali Singh</v>
      </c>
      <c r="N95" s="20" t="str">
        <f>_xlfn.XLOOKUP(Sales_Table[[#This Row],[Customer ID]],Table22[Customer ID],Table22[Customer Name])</f>
        <v>Royal Enterprises</v>
      </c>
      <c r="O95" s="23">
        <f>Sales_Table[[#This Row],[Unit Price]]*Sales_Table[[#This Row],[Quantity]]</f>
        <v>96000</v>
      </c>
      <c r="P95" s="23">
        <f>Sales_Table[[#This Row],[Gross Sales]]*Sales_Table[[#This Row],[Discount %]]</f>
        <v>0</v>
      </c>
      <c r="Q95" s="23">
        <f>Sales_Table[[#This Row],[Gross Sales]]-Sales_Table[[#This Row],[Discount]]</f>
        <v>96000</v>
      </c>
      <c r="R95" s="23">
        <f>VLOOKUP(Sales_Table[[#This Row],[Product ID]],Products[],5,FALSE)*Sales_Table[[#This Row],[Quantity]]</f>
        <v>57600</v>
      </c>
      <c r="S95" s="23">
        <f>Sales_Table[[#This Row],[Net Sale]]-Sales_Table[[#This Row],[Total Cost]]</f>
        <v>38400</v>
      </c>
      <c r="T95" s="24">
        <f>Sales_Table[[#This Row],[Profit]]/Sales_Table[[#This Row],[Net Sale]]</f>
        <v>0.4</v>
      </c>
      <c r="U95" s="23" t="str">
        <f>TEXT(Sales_Table[[#This Row],[Order Date]],"mmmm-YYYY")</f>
        <v>October-2026</v>
      </c>
      <c r="V95" s="23">
        <f>YEAR(Sales_Table[[#This Row],[Month]])</f>
        <v>2026</v>
      </c>
      <c r="W95" s="23" t="str">
        <f>TEXT(Sales_Table[[#This Row],[Order Date]],"DDDD")</f>
        <v>Thursday</v>
      </c>
      <c r="X95" s="23" t="str">
        <f>IF(OR(Sales_Table[[#This Row],[Days ]]=$W$5,Sales_Table[[#This Row],[Days ]]=$W$8),"Weekned","Weekday")</f>
        <v>Weekday</v>
      </c>
      <c r="Y95" s="23" t="str">
        <f>IF(Sales_Table[[#This Row],[Order Status]]="Delivered","Y","N")</f>
        <v>Y</v>
      </c>
      <c r="Z95" s="23" t="str">
        <f>IF(Sales_Table[[#This Row],[Order Status]]="Returned","Yes","N")</f>
        <v>N</v>
      </c>
    </row>
    <row r="96" spans="1:26" ht="15.5" x14ac:dyDescent="0.35">
      <c r="A96" s="20" t="s">
        <v>138</v>
      </c>
      <c r="B96" s="21">
        <v>46320</v>
      </c>
      <c r="C96" s="20" t="s">
        <v>37</v>
      </c>
      <c r="D96" s="20" t="s">
        <v>38</v>
      </c>
      <c r="E96" s="20" t="s">
        <v>14</v>
      </c>
      <c r="F96" s="20" t="s">
        <v>15</v>
      </c>
      <c r="G96" s="20" t="s">
        <v>16</v>
      </c>
      <c r="H96" s="20" t="s">
        <v>17</v>
      </c>
      <c r="I96" s="20">
        <v>9</v>
      </c>
      <c r="J96" s="20">
        <v>35000</v>
      </c>
      <c r="K96" s="22">
        <v>0.08</v>
      </c>
      <c r="L96" s="20" t="str">
        <f>_xlfn.XLOOKUP(Sales_Table[[#This Row],[Product ID]],Products[Product ID],Products[Product Name],"N",0)</f>
        <v>Printer</v>
      </c>
      <c r="M96" s="20" t="str">
        <f>_xlfn.XLOOKUP(Sales_Table[[#This Row],[Employee ID]],Employees[Employee ID],Employees[Employee Name],"N",0)</f>
        <v>Rahul Kumar</v>
      </c>
      <c r="N96" s="20" t="str">
        <f>_xlfn.XLOOKUP(Sales_Table[[#This Row],[Customer ID]],Table22[Customer ID],Table22[Customer Name])</f>
        <v>TechNova Pvt Ltd</v>
      </c>
      <c r="O96" s="23">
        <f>Sales_Table[[#This Row],[Unit Price]]*Sales_Table[[#This Row],[Quantity]]</f>
        <v>315000</v>
      </c>
      <c r="P96" s="23">
        <f>Sales_Table[[#This Row],[Gross Sales]]*Sales_Table[[#This Row],[Discount %]]</f>
        <v>25200</v>
      </c>
      <c r="Q96" s="23">
        <f>Sales_Table[[#This Row],[Gross Sales]]-Sales_Table[[#This Row],[Discount]]</f>
        <v>289800</v>
      </c>
      <c r="R96" s="23">
        <f>VLOOKUP(Sales_Table[[#This Row],[Product ID]],Products[],5,FALSE)*Sales_Table[[#This Row],[Quantity]]</f>
        <v>243000</v>
      </c>
      <c r="S96" s="23">
        <f>Sales_Table[[#This Row],[Net Sale]]-Sales_Table[[#This Row],[Total Cost]]</f>
        <v>46800</v>
      </c>
      <c r="T96" s="24">
        <f>Sales_Table[[#This Row],[Profit]]/Sales_Table[[#This Row],[Net Sale]]</f>
        <v>0.16149068322981366</v>
      </c>
      <c r="U96" s="23" t="str">
        <f>TEXT(Sales_Table[[#This Row],[Order Date]],"mmmm-YYYY")</f>
        <v>October-2026</v>
      </c>
      <c r="V96" s="23">
        <f>YEAR(Sales_Table[[#This Row],[Month]])</f>
        <v>2026</v>
      </c>
      <c r="W96" s="23" t="str">
        <f>TEXT(Sales_Table[[#This Row],[Order Date]],"DDDD")</f>
        <v>Sunday</v>
      </c>
      <c r="X96" s="23" t="str">
        <f>IF(OR(Sales_Table[[#This Row],[Days ]]=$W$5,Sales_Table[[#This Row],[Days ]]=$W$8),"Weekned","Weekday")</f>
        <v>Weekned</v>
      </c>
      <c r="Y96" s="23" t="str">
        <f>IF(Sales_Table[[#This Row],[Order Status]]="Delivered","Y","N")</f>
        <v>Y</v>
      </c>
      <c r="Z96" s="23" t="str">
        <f>IF(Sales_Table[[#This Row],[Order Status]]="Returned","Yes","N")</f>
        <v>N</v>
      </c>
    </row>
    <row r="97" spans="1:26" ht="15.5" x14ac:dyDescent="0.35">
      <c r="A97" s="20" t="s">
        <v>139</v>
      </c>
      <c r="B97" s="21">
        <v>46323</v>
      </c>
      <c r="C97" s="20" t="s">
        <v>41</v>
      </c>
      <c r="D97" s="20" t="s">
        <v>42</v>
      </c>
      <c r="E97" s="20" t="s">
        <v>21</v>
      </c>
      <c r="F97" s="20" t="s">
        <v>22</v>
      </c>
      <c r="G97" s="20" t="s">
        <v>16</v>
      </c>
      <c r="H97" s="20" t="s">
        <v>23</v>
      </c>
      <c r="I97" s="20">
        <v>27</v>
      </c>
      <c r="J97" s="20">
        <v>8000</v>
      </c>
      <c r="K97" s="22">
        <v>0.05</v>
      </c>
      <c r="L97" s="20" t="str">
        <f>_xlfn.XLOOKUP(Sales_Table[[#This Row],[Product ID]],Products[Product ID],Products[Product Name],"N",0)</f>
        <v>Headset</v>
      </c>
      <c r="M97" s="20" t="str">
        <f>_xlfn.XLOOKUP(Sales_Table[[#This Row],[Employee ID]],Employees[Employee ID],Employees[Employee Name],"N",0)</f>
        <v>Priya Sharma</v>
      </c>
      <c r="N97" s="20" t="str">
        <f>_xlfn.XLOOKUP(Sales_Table[[#This Row],[Customer ID]],Table22[Customer ID],Table22[Customer Name])</f>
        <v>Metro Computers</v>
      </c>
      <c r="O97" s="23">
        <f>Sales_Table[[#This Row],[Unit Price]]*Sales_Table[[#This Row],[Quantity]]</f>
        <v>216000</v>
      </c>
      <c r="P97" s="23">
        <f>Sales_Table[[#This Row],[Gross Sales]]*Sales_Table[[#This Row],[Discount %]]</f>
        <v>10800</v>
      </c>
      <c r="Q97" s="23">
        <f>Sales_Table[[#This Row],[Gross Sales]]-Sales_Table[[#This Row],[Discount]]</f>
        <v>205200</v>
      </c>
      <c r="R97" s="23">
        <f>VLOOKUP(Sales_Table[[#This Row],[Product ID]],Products[],5,FALSE)*Sales_Table[[#This Row],[Quantity]]</f>
        <v>140400</v>
      </c>
      <c r="S97" s="23">
        <f>Sales_Table[[#This Row],[Net Sale]]-Sales_Table[[#This Row],[Total Cost]]</f>
        <v>64800</v>
      </c>
      <c r="T97" s="24">
        <f>Sales_Table[[#This Row],[Profit]]/Sales_Table[[#This Row],[Net Sale]]</f>
        <v>0.31578947368421051</v>
      </c>
      <c r="U97" s="23" t="str">
        <f>TEXT(Sales_Table[[#This Row],[Order Date]],"mmmm-YYYY")</f>
        <v>October-2026</v>
      </c>
      <c r="V97" s="23">
        <f>YEAR(Sales_Table[[#This Row],[Month]])</f>
        <v>2026</v>
      </c>
      <c r="W97" s="23" t="str">
        <f>TEXT(Sales_Table[[#This Row],[Order Date]],"DDDD")</f>
        <v>Wednesday</v>
      </c>
      <c r="X97" s="23" t="str">
        <f>IF(OR(Sales_Table[[#This Row],[Days ]]=$W$5,Sales_Table[[#This Row],[Days ]]=$W$8),"Weekned","Weekday")</f>
        <v>Weekday</v>
      </c>
      <c r="Y97" s="23" t="str">
        <f>IF(Sales_Table[[#This Row],[Order Status]]="Delivered","Y","N")</f>
        <v>Y</v>
      </c>
      <c r="Z97" s="23" t="str">
        <f>IF(Sales_Table[[#This Row],[Order Status]]="Returned","Yes","N")</f>
        <v>N</v>
      </c>
    </row>
    <row r="98" spans="1:26" ht="15.5" x14ac:dyDescent="0.35">
      <c r="A98" s="20" t="s">
        <v>140</v>
      </c>
      <c r="B98" s="21">
        <v>46328</v>
      </c>
      <c r="C98" s="20" t="s">
        <v>45</v>
      </c>
      <c r="D98" s="20" t="s">
        <v>13</v>
      </c>
      <c r="E98" s="20" t="s">
        <v>27</v>
      </c>
      <c r="F98" s="20" t="s">
        <v>28</v>
      </c>
      <c r="G98" s="20" t="s">
        <v>16</v>
      </c>
      <c r="H98" s="20" t="s">
        <v>29</v>
      </c>
      <c r="I98" s="20">
        <v>7</v>
      </c>
      <c r="J98" s="20">
        <v>50000</v>
      </c>
      <c r="K98" s="22">
        <v>0.12</v>
      </c>
      <c r="L98" s="20" t="str">
        <f>_xlfn.XLOOKUP(Sales_Table[[#This Row],[Product ID]],Products[Product ID],Products[Product Name],"N",0)</f>
        <v>Laptop</v>
      </c>
      <c r="M98" s="20" t="str">
        <f>_xlfn.XLOOKUP(Sales_Table[[#This Row],[Employee ID]],Employees[Employee ID],Employees[Employee Name],"N",0)</f>
        <v>Arjun Reddy</v>
      </c>
      <c r="N98" s="20" t="str">
        <f>_xlfn.XLOOKUP(Sales_Table[[#This Row],[Customer ID]],Table22[Customer ID],Table22[Customer Name])</f>
        <v>Future Systems</v>
      </c>
      <c r="O98" s="23">
        <f>Sales_Table[[#This Row],[Unit Price]]*Sales_Table[[#This Row],[Quantity]]</f>
        <v>350000</v>
      </c>
      <c r="P98" s="23">
        <f>Sales_Table[[#This Row],[Gross Sales]]*Sales_Table[[#This Row],[Discount %]]</f>
        <v>42000</v>
      </c>
      <c r="Q98" s="23">
        <f>Sales_Table[[#This Row],[Gross Sales]]-Sales_Table[[#This Row],[Discount]]</f>
        <v>308000</v>
      </c>
      <c r="R98" s="23">
        <f>VLOOKUP(Sales_Table[[#This Row],[Product ID]],Products[],5,FALSE)*Sales_Table[[#This Row],[Quantity]]</f>
        <v>273000</v>
      </c>
      <c r="S98" s="23">
        <f>Sales_Table[[#This Row],[Net Sale]]-Sales_Table[[#This Row],[Total Cost]]</f>
        <v>35000</v>
      </c>
      <c r="T98" s="24">
        <f>Sales_Table[[#This Row],[Profit]]/Sales_Table[[#This Row],[Net Sale]]</f>
        <v>0.11363636363636363</v>
      </c>
      <c r="U98" s="23" t="str">
        <f>TEXT(Sales_Table[[#This Row],[Order Date]],"mmmm-YYYY")</f>
        <v>November-2026</v>
      </c>
      <c r="V98" s="23">
        <f>YEAR(Sales_Table[[#This Row],[Month]])</f>
        <v>2026</v>
      </c>
      <c r="W98" s="23" t="str">
        <f>TEXT(Sales_Table[[#This Row],[Order Date]],"DDDD")</f>
        <v>Monday</v>
      </c>
      <c r="X98" s="23" t="str">
        <f>IF(OR(Sales_Table[[#This Row],[Days ]]=$W$5,Sales_Table[[#This Row],[Days ]]=$W$8),"Weekned","Weekday")</f>
        <v>Weekday</v>
      </c>
      <c r="Y98" s="23" t="str">
        <f>IF(Sales_Table[[#This Row],[Order Status]]="Delivered","Y","N")</f>
        <v>Y</v>
      </c>
      <c r="Z98" s="23" t="str">
        <f>IF(Sales_Table[[#This Row],[Order Status]]="Returned","Yes","N")</f>
        <v>N</v>
      </c>
    </row>
    <row r="99" spans="1:26" ht="15.5" x14ac:dyDescent="0.35">
      <c r="A99" s="20" t="s">
        <v>141</v>
      </c>
      <c r="B99" s="21">
        <v>46331</v>
      </c>
      <c r="C99" s="20" t="s">
        <v>47</v>
      </c>
      <c r="D99" s="20" t="s">
        <v>20</v>
      </c>
      <c r="E99" s="20" t="s">
        <v>33</v>
      </c>
      <c r="F99" s="20" t="s">
        <v>34</v>
      </c>
      <c r="G99" s="20" t="s">
        <v>16</v>
      </c>
      <c r="H99" s="20" t="s">
        <v>17</v>
      </c>
      <c r="I99" s="20">
        <v>18</v>
      </c>
      <c r="J99" s="20">
        <v>25000</v>
      </c>
      <c r="K99" s="22">
        <v>0.1</v>
      </c>
      <c r="L99" s="20" t="str">
        <f>_xlfn.XLOOKUP(Sales_Table[[#This Row],[Product ID]],Products[Product ID],Products[Product Name],"N",0)</f>
        <v>Monitor</v>
      </c>
      <c r="M99" s="20" t="str">
        <f>_xlfn.XLOOKUP(Sales_Table[[#This Row],[Employee ID]],Employees[Employee ID],Employees[Employee Name],"N",0)</f>
        <v>Sneha Patel</v>
      </c>
      <c r="N99" s="20" t="str">
        <f>_xlfn.XLOOKUP(Sales_Table[[#This Row],[Customer ID]],Table22[Customer ID],Table22[Customer Name])</f>
        <v>Prime Digital</v>
      </c>
      <c r="O99" s="23">
        <f>Sales_Table[[#This Row],[Unit Price]]*Sales_Table[[#This Row],[Quantity]]</f>
        <v>450000</v>
      </c>
      <c r="P99" s="23">
        <f>Sales_Table[[#This Row],[Gross Sales]]*Sales_Table[[#This Row],[Discount %]]</f>
        <v>45000</v>
      </c>
      <c r="Q99" s="23">
        <f>Sales_Table[[#This Row],[Gross Sales]]-Sales_Table[[#This Row],[Discount]]</f>
        <v>405000</v>
      </c>
      <c r="R99" s="23">
        <f>VLOOKUP(Sales_Table[[#This Row],[Product ID]],Products[],5,FALSE)*Sales_Table[[#This Row],[Quantity]]</f>
        <v>342000</v>
      </c>
      <c r="S99" s="23">
        <f>Sales_Table[[#This Row],[Net Sale]]-Sales_Table[[#This Row],[Total Cost]]</f>
        <v>63000</v>
      </c>
      <c r="T99" s="24">
        <f>Sales_Table[[#This Row],[Profit]]/Sales_Table[[#This Row],[Net Sale]]</f>
        <v>0.15555555555555556</v>
      </c>
      <c r="U99" s="23" t="str">
        <f>TEXT(Sales_Table[[#This Row],[Order Date]],"mmmm-YYYY")</f>
        <v>November-2026</v>
      </c>
      <c r="V99" s="23">
        <f>YEAR(Sales_Table[[#This Row],[Month]])</f>
        <v>2026</v>
      </c>
      <c r="W99" s="23" t="str">
        <f>TEXT(Sales_Table[[#This Row],[Order Date]],"DDDD")</f>
        <v>Thursday</v>
      </c>
      <c r="X99" s="23" t="str">
        <f>IF(OR(Sales_Table[[#This Row],[Days ]]=$W$5,Sales_Table[[#This Row],[Days ]]=$W$8),"Weekned","Weekday")</f>
        <v>Weekday</v>
      </c>
      <c r="Y99" s="23" t="str">
        <f>IF(Sales_Table[[#This Row],[Order Status]]="Delivered","Y","N")</f>
        <v>Y</v>
      </c>
      <c r="Z99" s="23" t="str">
        <f>IF(Sales_Table[[#This Row],[Order Status]]="Returned","Yes","N")</f>
        <v>N</v>
      </c>
    </row>
    <row r="100" spans="1:26" ht="15.5" x14ac:dyDescent="0.35">
      <c r="A100" s="20" t="s">
        <v>142</v>
      </c>
      <c r="B100" s="21">
        <v>46334</v>
      </c>
      <c r="C100" s="20" t="s">
        <v>49</v>
      </c>
      <c r="D100" s="20" t="s">
        <v>26</v>
      </c>
      <c r="E100" s="20" t="s">
        <v>39</v>
      </c>
      <c r="F100" s="20" t="s">
        <v>15</v>
      </c>
      <c r="G100" s="20" t="s">
        <v>16</v>
      </c>
      <c r="H100" s="20" t="s">
        <v>23</v>
      </c>
      <c r="I100" s="20">
        <v>45</v>
      </c>
      <c r="J100" s="20">
        <v>5000</v>
      </c>
      <c r="K100" s="22">
        <v>0.05</v>
      </c>
      <c r="L100" s="20" t="str">
        <f>_xlfn.XLOOKUP(Sales_Table[[#This Row],[Product ID]],Products[Product ID],Products[Product Name],"N",0)</f>
        <v>Keyboard</v>
      </c>
      <c r="M100" s="20" t="str">
        <f>_xlfn.XLOOKUP(Sales_Table[[#This Row],[Employee ID]],Employees[Employee ID],Employees[Employee Name],"N",0)</f>
        <v>Kiran Rao</v>
      </c>
      <c r="N100" s="20" t="str">
        <f>_xlfn.XLOOKUP(Sales_Table[[#This Row],[Customer ID]],Table22[Customer ID],Table22[Customer Name])</f>
        <v>Smart World</v>
      </c>
      <c r="O100" s="23">
        <f>Sales_Table[[#This Row],[Unit Price]]*Sales_Table[[#This Row],[Quantity]]</f>
        <v>225000</v>
      </c>
      <c r="P100" s="23">
        <f>Sales_Table[[#This Row],[Gross Sales]]*Sales_Table[[#This Row],[Discount %]]</f>
        <v>11250</v>
      </c>
      <c r="Q100" s="23">
        <f>Sales_Table[[#This Row],[Gross Sales]]-Sales_Table[[#This Row],[Discount]]</f>
        <v>213750</v>
      </c>
      <c r="R100" s="23">
        <f>VLOOKUP(Sales_Table[[#This Row],[Product ID]],Products[],5,FALSE)*Sales_Table[[#This Row],[Quantity]]</f>
        <v>157500</v>
      </c>
      <c r="S100" s="23">
        <f>Sales_Table[[#This Row],[Net Sale]]-Sales_Table[[#This Row],[Total Cost]]</f>
        <v>56250</v>
      </c>
      <c r="T100" s="24">
        <f>Sales_Table[[#This Row],[Profit]]/Sales_Table[[#This Row],[Net Sale]]</f>
        <v>0.26315789473684209</v>
      </c>
      <c r="U100" s="23" t="str">
        <f>TEXT(Sales_Table[[#This Row],[Order Date]],"mmmm-YYYY")</f>
        <v>November-2026</v>
      </c>
      <c r="V100" s="23">
        <f>YEAR(Sales_Table[[#This Row],[Month]])</f>
        <v>2026</v>
      </c>
      <c r="W100" s="23" t="str">
        <f>TEXT(Sales_Table[[#This Row],[Order Date]],"DDDD")</f>
        <v>Sunday</v>
      </c>
      <c r="X100" s="23" t="str">
        <f>IF(OR(Sales_Table[[#This Row],[Days ]]=$W$5,Sales_Table[[#This Row],[Days ]]=$W$8),"Weekned","Weekday")</f>
        <v>Weekned</v>
      </c>
      <c r="Y100" s="23" t="str">
        <f>IF(Sales_Table[[#This Row],[Order Status]]="Delivered","Y","N")</f>
        <v>Y</v>
      </c>
      <c r="Z100" s="23" t="str">
        <f>IF(Sales_Table[[#This Row],[Order Status]]="Returned","Yes","N")</f>
        <v>N</v>
      </c>
    </row>
    <row r="101" spans="1:26" ht="15.5" x14ac:dyDescent="0.35">
      <c r="A101" s="20" t="s">
        <v>143</v>
      </c>
      <c r="B101" s="21">
        <v>46336</v>
      </c>
      <c r="C101" s="20" t="s">
        <v>51</v>
      </c>
      <c r="D101" s="20" t="s">
        <v>32</v>
      </c>
      <c r="E101" s="20" t="s">
        <v>43</v>
      </c>
      <c r="F101" s="20" t="s">
        <v>22</v>
      </c>
      <c r="G101" s="20" t="s">
        <v>16</v>
      </c>
      <c r="H101" s="20" t="s">
        <v>35</v>
      </c>
      <c r="I101" s="20">
        <v>52</v>
      </c>
      <c r="J101" s="20">
        <v>2000</v>
      </c>
      <c r="K101" s="22">
        <v>0</v>
      </c>
      <c r="L101" s="20" t="str">
        <f>_xlfn.XLOOKUP(Sales_Table[[#This Row],[Product ID]],Products[Product ID],Products[Product Name],"N",0)</f>
        <v>Mouse</v>
      </c>
      <c r="M101" s="20" t="str">
        <f>_xlfn.XLOOKUP(Sales_Table[[#This Row],[Employee ID]],Employees[Employee ID],Employees[Employee Name],"N",0)</f>
        <v>Anjali Singh</v>
      </c>
      <c r="N101" s="20" t="str">
        <f>_xlfn.XLOOKUP(Sales_Table[[#This Row],[Customer ID]],Table22[Customer ID],Table22[Customer Name])</f>
        <v>NextGen Solutions</v>
      </c>
      <c r="O101" s="23">
        <f>Sales_Table[[#This Row],[Unit Price]]*Sales_Table[[#This Row],[Quantity]]</f>
        <v>104000</v>
      </c>
      <c r="P101" s="23">
        <f>Sales_Table[[#This Row],[Gross Sales]]*Sales_Table[[#This Row],[Discount %]]</f>
        <v>0</v>
      </c>
      <c r="Q101" s="23">
        <f>Sales_Table[[#This Row],[Gross Sales]]-Sales_Table[[#This Row],[Discount]]</f>
        <v>104000</v>
      </c>
      <c r="R101" s="23">
        <f>VLOOKUP(Sales_Table[[#This Row],[Product ID]],Products[],5,FALSE)*Sales_Table[[#This Row],[Quantity]]</f>
        <v>62400</v>
      </c>
      <c r="S101" s="23">
        <f>Sales_Table[[#This Row],[Net Sale]]-Sales_Table[[#This Row],[Total Cost]]</f>
        <v>41600</v>
      </c>
      <c r="T101" s="24">
        <f>Sales_Table[[#This Row],[Profit]]/Sales_Table[[#This Row],[Net Sale]]</f>
        <v>0.4</v>
      </c>
      <c r="U101" s="23" t="str">
        <f>TEXT(Sales_Table[[#This Row],[Order Date]],"mmmm-YYYY")</f>
        <v>November-2026</v>
      </c>
      <c r="V101" s="23">
        <f>YEAR(Sales_Table[[#This Row],[Month]])</f>
        <v>2026</v>
      </c>
      <c r="W101" s="23" t="str">
        <f>TEXT(Sales_Table[[#This Row],[Order Date]],"DDDD")</f>
        <v>Tuesday</v>
      </c>
      <c r="X101" s="23" t="str">
        <f>IF(OR(Sales_Table[[#This Row],[Days ]]=$W$5,Sales_Table[[#This Row],[Days ]]=$W$8),"Weekned","Weekday")</f>
        <v>Weekday</v>
      </c>
      <c r="Y101" s="23" t="str">
        <f>IF(Sales_Table[[#This Row],[Order Status]]="Delivered","Y","N")</f>
        <v>Y</v>
      </c>
      <c r="Z101" s="23" t="str">
        <f>IF(Sales_Table[[#This Row],[Order Status]]="Returned","Yes","N")</f>
        <v>N</v>
      </c>
    </row>
    <row r="102" spans="1:26" ht="15.5" x14ac:dyDescent="0.35">
      <c r="A102" s="20" t="s">
        <v>144</v>
      </c>
      <c r="B102" s="21">
        <v>46338</v>
      </c>
      <c r="C102" s="20" t="s">
        <v>12</v>
      </c>
      <c r="D102" s="20" t="s">
        <v>38</v>
      </c>
      <c r="E102" s="20" t="s">
        <v>14</v>
      </c>
      <c r="F102" s="20" t="s">
        <v>28</v>
      </c>
      <c r="G102" s="20" t="s">
        <v>16</v>
      </c>
      <c r="H102" s="20" t="s">
        <v>29</v>
      </c>
      <c r="I102" s="20">
        <v>13</v>
      </c>
      <c r="J102" s="20">
        <v>35000</v>
      </c>
      <c r="K102" s="22">
        <v>0.1</v>
      </c>
      <c r="L102" s="20" t="str">
        <f>_xlfn.XLOOKUP(Sales_Table[[#This Row],[Product ID]],Products[Product ID],Products[Product Name],"N",0)</f>
        <v>Printer</v>
      </c>
      <c r="M102" s="20" t="str">
        <f>_xlfn.XLOOKUP(Sales_Table[[#This Row],[Employee ID]],Employees[Employee ID],Employees[Employee Name],"N",0)</f>
        <v>Rahul Kumar</v>
      </c>
      <c r="N102" s="20" t="str">
        <f>_xlfn.XLOOKUP(Sales_Table[[#This Row],[Customer ID]],Table22[Customer ID],Table22[Customer Name])</f>
        <v>ABC Technologies</v>
      </c>
      <c r="O102" s="23">
        <f>Sales_Table[[#This Row],[Unit Price]]*Sales_Table[[#This Row],[Quantity]]</f>
        <v>455000</v>
      </c>
      <c r="P102" s="23">
        <f>Sales_Table[[#This Row],[Gross Sales]]*Sales_Table[[#This Row],[Discount %]]</f>
        <v>45500</v>
      </c>
      <c r="Q102" s="23">
        <f>Sales_Table[[#This Row],[Gross Sales]]-Sales_Table[[#This Row],[Discount]]</f>
        <v>409500</v>
      </c>
      <c r="R102" s="23">
        <f>VLOOKUP(Sales_Table[[#This Row],[Product ID]],Products[],5,FALSE)*Sales_Table[[#This Row],[Quantity]]</f>
        <v>351000</v>
      </c>
      <c r="S102" s="23">
        <f>Sales_Table[[#This Row],[Net Sale]]-Sales_Table[[#This Row],[Total Cost]]</f>
        <v>58500</v>
      </c>
      <c r="T102" s="24">
        <f>Sales_Table[[#This Row],[Profit]]/Sales_Table[[#This Row],[Net Sale]]</f>
        <v>0.14285714285714285</v>
      </c>
      <c r="U102" s="23" t="str">
        <f>TEXT(Sales_Table[[#This Row],[Order Date]],"mmmm-YYYY")</f>
        <v>November-2026</v>
      </c>
      <c r="V102" s="23">
        <f>YEAR(Sales_Table[[#This Row],[Month]])</f>
        <v>2026</v>
      </c>
      <c r="W102" s="23" t="str">
        <f>TEXT(Sales_Table[[#This Row],[Order Date]],"DDDD")</f>
        <v>Thursday</v>
      </c>
      <c r="X102" s="23" t="str">
        <f>IF(OR(Sales_Table[[#This Row],[Days ]]=$W$5,Sales_Table[[#This Row],[Days ]]=$W$8),"Weekned","Weekday")</f>
        <v>Weekday</v>
      </c>
      <c r="Y102" s="23" t="str">
        <f>IF(Sales_Table[[#This Row],[Order Status]]="Delivered","Y","N")</f>
        <v>Y</v>
      </c>
      <c r="Z102" s="23" t="str">
        <f>IF(Sales_Table[[#This Row],[Order Status]]="Returned","Yes","N")</f>
        <v>N</v>
      </c>
    </row>
    <row r="103" spans="1:26" ht="15.5" x14ac:dyDescent="0.35">
      <c r="A103" s="20" t="s">
        <v>145</v>
      </c>
      <c r="B103" s="21">
        <v>46341</v>
      </c>
      <c r="C103" s="20" t="s">
        <v>19</v>
      </c>
      <c r="D103" s="20" t="s">
        <v>42</v>
      </c>
      <c r="E103" s="20" t="s">
        <v>21</v>
      </c>
      <c r="F103" s="20" t="s">
        <v>34</v>
      </c>
      <c r="G103" s="20" t="s">
        <v>16</v>
      </c>
      <c r="H103" s="20" t="s">
        <v>17</v>
      </c>
      <c r="I103" s="20">
        <v>28</v>
      </c>
      <c r="J103" s="20">
        <v>8000</v>
      </c>
      <c r="K103" s="22">
        <v>0.05</v>
      </c>
      <c r="L103" s="20" t="str">
        <f>_xlfn.XLOOKUP(Sales_Table[[#This Row],[Product ID]],Products[Product ID],Products[Product Name],"N",0)</f>
        <v>Headset</v>
      </c>
      <c r="M103" s="20" t="str">
        <f>_xlfn.XLOOKUP(Sales_Table[[#This Row],[Employee ID]],Employees[Employee ID],Employees[Employee Name],"N",0)</f>
        <v>Priya Sharma</v>
      </c>
      <c r="N103" s="20" t="str">
        <f>_xlfn.XLOOKUP(Sales_Table[[#This Row],[Customer ID]],Table22[Customer ID],Table22[Customer Name])</f>
        <v>Sri Lakshmi Traders</v>
      </c>
      <c r="O103" s="23">
        <f>Sales_Table[[#This Row],[Unit Price]]*Sales_Table[[#This Row],[Quantity]]</f>
        <v>224000</v>
      </c>
      <c r="P103" s="23">
        <f>Sales_Table[[#This Row],[Gross Sales]]*Sales_Table[[#This Row],[Discount %]]</f>
        <v>11200</v>
      </c>
      <c r="Q103" s="23">
        <f>Sales_Table[[#This Row],[Gross Sales]]-Sales_Table[[#This Row],[Discount]]</f>
        <v>212800</v>
      </c>
      <c r="R103" s="23">
        <f>VLOOKUP(Sales_Table[[#This Row],[Product ID]],Products[],5,FALSE)*Sales_Table[[#This Row],[Quantity]]</f>
        <v>145600</v>
      </c>
      <c r="S103" s="23">
        <f>Sales_Table[[#This Row],[Net Sale]]-Sales_Table[[#This Row],[Total Cost]]</f>
        <v>67200</v>
      </c>
      <c r="T103" s="24">
        <f>Sales_Table[[#This Row],[Profit]]/Sales_Table[[#This Row],[Net Sale]]</f>
        <v>0.31578947368421051</v>
      </c>
      <c r="U103" s="23" t="str">
        <f>TEXT(Sales_Table[[#This Row],[Order Date]],"mmmm-YYYY")</f>
        <v>November-2026</v>
      </c>
      <c r="V103" s="23">
        <f>YEAR(Sales_Table[[#This Row],[Month]])</f>
        <v>2026</v>
      </c>
      <c r="W103" s="23" t="str">
        <f>TEXT(Sales_Table[[#This Row],[Order Date]],"DDDD")</f>
        <v>Sunday</v>
      </c>
      <c r="X103" s="23" t="str">
        <f>IF(OR(Sales_Table[[#This Row],[Days ]]=$W$5,Sales_Table[[#This Row],[Days ]]=$W$8),"Weekned","Weekday")</f>
        <v>Weekned</v>
      </c>
      <c r="Y103" s="23" t="str">
        <f>IF(Sales_Table[[#This Row],[Order Status]]="Delivered","Y","N")</f>
        <v>Y</v>
      </c>
      <c r="Z103" s="23" t="str">
        <f>IF(Sales_Table[[#This Row],[Order Status]]="Returned","Yes","N")</f>
        <v>N</v>
      </c>
    </row>
    <row r="104" spans="1:26" ht="15.5" x14ac:dyDescent="0.35">
      <c r="A104" s="20" t="s">
        <v>146</v>
      </c>
      <c r="B104" s="21">
        <v>46344</v>
      </c>
      <c r="C104" s="20" t="s">
        <v>25</v>
      </c>
      <c r="D104" s="20" t="s">
        <v>13</v>
      </c>
      <c r="E104" s="20" t="s">
        <v>27</v>
      </c>
      <c r="F104" s="20" t="s">
        <v>15</v>
      </c>
      <c r="G104" s="20" t="s">
        <v>16</v>
      </c>
      <c r="H104" s="20" t="s">
        <v>23</v>
      </c>
      <c r="I104" s="20">
        <v>6</v>
      </c>
      <c r="J104" s="20">
        <v>50000</v>
      </c>
      <c r="K104" s="22">
        <v>0.15</v>
      </c>
      <c r="L104" s="20" t="str">
        <f>_xlfn.XLOOKUP(Sales_Table[[#This Row],[Product ID]],Products[Product ID],Products[Product Name],"N",0)</f>
        <v>Laptop</v>
      </c>
      <c r="M104" s="20" t="str">
        <f>_xlfn.XLOOKUP(Sales_Table[[#This Row],[Employee ID]],Employees[Employee ID],Employees[Employee Name],"N",0)</f>
        <v>Arjun Reddy</v>
      </c>
      <c r="N104" s="20" t="str">
        <f>_xlfn.XLOOKUP(Sales_Table[[#This Row],[Customer ID]],Table22[Customer ID],Table22[Customer Name])</f>
        <v>Vertex Solutions</v>
      </c>
      <c r="O104" s="23">
        <f>Sales_Table[[#This Row],[Unit Price]]*Sales_Table[[#This Row],[Quantity]]</f>
        <v>300000</v>
      </c>
      <c r="P104" s="23">
        <f>Sales_Table[[#This Row],[Gross Sales]]*Sales_Table[[#This Row],[Discount %]]</f>
        <v>45000</v>
      </c>
      <c r="Q104" s="23">
        <f>Sales_Table[[#This Row],[Gross Sales]]-Sales_Table[[#This Row],[Discount]]</f>
        <v>255000</v>
      </c>
      <c r="R104" s="23">
        <f>VLOOKUP(Sales_Table[[#This Row],[Product ID]],Products[],5,FALSE)*Sales_Table[[#This Row],[Quantity]]</f>
        <v>234000</v>
      </c>
      <c r="S104" s="23">
        <f>Sales_Table[[#This Row],[Net Sale]]-Sales_Table[[#This Row],[Total Cost]]</f>
        <v>21000</v>
      </c>
      <c r="T104" s="24">
        <f>Sales_Table[[#This Row],[Profit]]/Sales_Table[[#This Row],[Net Sale]]</f>
        <v>8.2352941176470587E-2</v>
      </c>
      <c r="U104" s="23" t="str">
        <f>TEXT(Sales_Table[[#This Row],[Order Date]],"mmmm-YYYY")</f>
        <v>November-2026</v>
      </c>
      <c r="V104" s="23">
        <f>YEAR(Sales_Table[[#This Row],[Month]])</f>
        <v>2026</v>
      </c>
      <c r="W104" s="23" t="str">
        <f>TEXT(Sales_Table[[#This Row],[Order Date]],"DDDD")</f>
        <v>Wednesday</v>
      </c>
      <c r="X104" s="23" t="str">
        <f>IF(OR(Sales_Table[[#This Row],[Days ]]=$W$5,Sales_Table[[#This Row],[Days ]]=$W$8),"Weekned","Weekday")</f>
        <v>Weekday</v>
      </c>
      <c r="Y104" s="23" t="str">
        <f>IF(Sales_Table[[#This Row],[Order Status]]="Delivered","Y","N")</f>
        <v>Y</v>
      </c>
      <c r="Z104" s="23" t="str">
        <f>IF(Sales_Table[[#This Row],[Order Status]]="Returned","Yes","N")</f>
        <v>N</v>
      </c>
    </row>
    <row r="105" spans="1:26" ht="15.5" x14ac:dyDescent="0.35">
      <c r="A105" s="20" t="s">
        <v>147</v>
      </c>
      <c r="B105" s="21">
        <v>46346</v>
      </c>
      <c r="C105" s="20" t="s">
        <v>31</v>
      </c>
      <c r="D105" s="20" t="s">
        <v>20</v>
      </c>
      <c r="E105" s="20" t="s">
        <v>33</v>
      </c>
      <c r="F105" s="20" t="s">
        <v>22</v>
      </c>
      <c r="G105" s="20" t="s">
        <v>16</v>
      </c>
      <c r="H105" s="20" t="s">
        <v>29</v>
      </c>
      <c r="I105" s="20">
        <v>22</v>
      </c>
      <c r="J105" s="20">
        <v>25000</v>
      </c>
      <c r="K105" s="22">
        <v>0.12</v>
      </c>
      <c r="L105" s="20" t="str">
        <f>_xlfn.XLOOKUP(Sales_Table[[#This Row],[Product ID]],Products[Product ID],Products[Product Name],"N",0)</f>
        <v>Monitor</v>
      </c>
      <c r="M105" s="20" t="str">
        <f>_xlfn.XLOOKUP(Sales_Table[[#This Row],[Employee ID]],Employees[Employee ID],Employees[Employee Name],"N",0)</f>
        <v>Sneha Patel</v>
      </c>
      <c r="N105" s="20" t="str">
        <f>_xlfn.XLOOKUP(Sales_Table[[#This Row],[Customer ID]],Table22[Customer ID],Table22[Customer Name])</f>
        <v>Royal Enterprises</v>
      </c>
      <c r="O105" s="23">
        <f>Sales_Table[[#This Row],[Unit Price]]*Sales_Table[[#This Row],[Quantity]]</f>
        <v>550000</v>
      </c>
      <c r="P105" s="23">
        <f>Sales_Table[[#This Row],[Gross Sales]]*Sales_Table[[#This Row],[Discount %]]</f>
        <v>66000</v>
      </c>
      <c r="Q105" s="23">
        <f>Sales_Table[[#This Row],[Gross Sales]]-Sales_Table[[#This Row],[Discount]]</f>
        <v>484000</v>
      </c>
      <c r="R105" s="23">
        <f>VLOOKUP(Sales_Table[[#This Row],[Product ID]],Products[],5,FALSE)*Sales_Table[[#This Row],[Quantity]]</f>
        <v>418000</v>
      </c>
      <c r="S105" s="23">
        <f>Sales_Table[[#This Row],[Net Sale]]-Sales_Table[[#This Row],[Total Cost]]</f>
        <v>66000</v>
      </c>
      <c r="T105" s="24">
        <f>Sales_Table[[#This Row],[Profit]]/Sales_Table[[#This Row],[Net Sale]]</f>
        <v>0.13636363636363635</v>
      </c>
      <c r="U105" s="23" t="str">
        <f>TEXT(Sales_Table[[#This Row],[Order Date]],"mmmm-YYYY")</f>
        <v>November-2026</v>
      </c>
      <c r="V105" s="23">
        <f>YEAR(Sales_Table[[#This Row],[Month]])</f>
        <v>2026</v>
      </c>
      <c r="W105" s="23" t="str">
        <f>TEXT(Sales_Table[[#This Row],[Order Date]],"DDDD")</f>
        <v>Friday</v>
      </c>
      <c r="X105" s="23" t="str">
        <f>IF(OR(Sales_Table[[#This Row],[Days ]]=$W$5,Sales_Table[[#This Row],[Days ]]=$W$8),"Weekned","Weekday")</f>
        <v>Weekday</v>
      </c>
      <c r="Y105" s="23" t="str">
        <f>IF(Sales_Table[[#This Row],[Order Status]]="Delivered","Y","N")</f>
        <v>Y</v>
      </c>
      <c r="Z105" s="23" t="str">
        <f>IF(Sales_Table[[#This Row],[Order Status]]="Returned","Yes","N")</f>
        <v>N</v>
      </c>
    </row>
    <row r="106" spans="1:26" ht="15.5" x14ac:dyDescent="0.35">
      <c r="A106" s="20" t="s">
        <v>148</v>
      </c>
      <c r="B106" s="21">
        <v>46348</v>
      </c>
      <c r="C106" s="20" t="s">
        <v>37</v>
      </c>
      <c r="D106" s="20" t="s">
        <v>26</v>
      </c>
      <c r="E106" s="20" t="s">
        <v>39</v>
      </c>
      <c r="F106" s="20" t="s">
        <v>28</v>
      </c>
      <c r="G106" s="20" t="s">
        <v>16</v>
      </c>
      <c r="H106" s="20" t="s">
        <v>17</v>
      </c>
      <c r="I106" s="20">
        <v>40</v>
      </c>
      <c r="J106" s="20">
        <v>5000</v>
      </c>
      <c r="K106" s="22">
        <v>0.08</v>
      </c>
      <c r="L106" s="20" t="str">
        <f>_xlfn.XLOOKUP(Sales_Table[[#This Row],[Product ID]],Products[Product ID],Products[Product Name],"N",0)</f>
        <v>Keyboard</v>
      </c>
      <c r="M106" s="20" t="str">
        <f>_xlfn.XLOOKUP(Sales_Table[[#This Row],[Employee ID]],Employees[Employee ID],Employees[Employee Name],"N",0)</f>
        <v>Kiran Rao</v>
      </c>
      <c r="N106" s="20" t="str">
        <f>_xlfn.XLOOKUP(Sales_Table[[#This Row],[Customer ID]],Table22[Customer ID],Table22[Customer Name])</f>
        <v>TechNova Pvt Ltd</v>
      </c>
      <c r="O106" s="23">
        <f>Sales_Table[[#This Row],[Unit Price]]*Sales_Table[[#This Row],[Quantity]]</f>
        <v>200000</v>
      </c>
      <c r="P106" s="23">
        <f>Sales_Table[[#This Row],[Gross Sales]]*Sales_Table[[#This Row],[Discount %]]</f>
        <v>16000</v>
      </c>
      <c r="Q106" s="23">
        <f>Sales_Table[[#This Row],[Gross Sales]]-Sales_Table[[#This Row],[Discount]]</f>
        <v>184000</v>
      </c>
      <c r="R106" s="23">
        <f>VLOOKUP(Sales_Table[[#This Row],[Product ID]],Products[],5,FALSE)*Sales_Table[[#This Row],[Quantity]]</f>
        <v>140000</v>
      </c>
      <c r="S106" s="23">
        <f>Sales_Table[[#This Row],[Net Sale]]-Sales_Table[[#This Row],[Total Cost]]</f>
        <v>44000</v>
      </c>
      <c r="T106" s="24">
        <f>Sales_Table[[#This Row],[Profit]]/Sales_Table[[#This Row],[Net Sale]]</f>
        <v>0.2391304347826087</v>
      </c>
      <c r="U106" s="23" t="str">
        <f>TEXT(Sales_Table[[#This Row],[Order Date]],"mmmm-YYYY")</f>
        <v>November-2026</v>
      </c>
      <c r="V106" s="23">
        <f>YEAR(Sales_Table[[#This Row],[Month]])</f>
        <v>2026</v>
      </c>
      <c r="W106" s="23" t="str">
        <f>TEXT(Sales_Table[[#This Row],[Order Date]],"DDDD")</f>
        <v>Sunday</v>
      </c>
      <c r="X106" s="23" t="str">
        <f>IF(OR(Sales_Table[[#This Row],[Days ]]=$W$5,Sales_Table[[#This Row],[Days ]]=$W$8),"Weekned","Weekday")</f>
        <v>Weekned</v>
      </c>
      <c r="Y106" s="23" t="str">
        <f>IF(Sales_Table[[#This Row],[Order Status]]="Delivered","Y","N")</f>
        <v>Y</v>
      </c>
      <c r="Z106" s="23" t="str">
        <f>IF(Sales_Table[[#This Row],[Order Status]]="Returned","Yes","N")</f>
        <v>N</v>
      </c>
    </row>
    <row r="107" spans="1:26" ht="15.5" x14ac:dyDescent="0.35">
      <c r="A107" s="20" t="s">
        <v>149</v>
      </c>
      <c r="B107" s="21">
        <v>46351</v>
      </c>
      <c r="C107" s="20" t="s">
        <v>41</v>
      </c>
      <c r="D107" s="20" t="s">
        <v>32</v>
      </c>
      <c r="E107" s="20" t="s">
        <v>43</v>
      </c>
      <c r="F107" s="20" t="s">
        <v>34</v>
      </c>
      <c r="G107" s="20" t="s">
        <v>16</v>
      </c>
      <c r="H107" s="20" t="s">
        <v>35</v>
      </c>
      <c r="I107" s="20">
        <v>58</v>
      </c>
      <c r="J107" s="20">
        <v>2000</v>
      </c>
      <c r="K107" s="22">
        <v>0</v>
      </c>
      <c r="L107" s="20" t="str">
        <f>_xlfn.XLOOKUP(Sales_Table[[#This Row],[Product ID]],Products[Product ID],Products[Product Name],"N",0)</f>
        <v>Mouse</v>
      </c>
      <c r="M107" s="20" t="str">
        <f>_xlfn.XLOOKUP(Sales_Table[[#This Row],[Employee ID]],Employees[Employee ID],Employees[Employee Name],"N",0)</f>
        <v>Anjali Singh</v>
      </c>
      <c r="N107" s="20" t="str">
        <f>_xlfn.XLOOKUP(Sales_Table[[#This Row],[Customer ID]],Table22[Customer ID],Table22[Customer Name])</f>
        <v>Metro Computers</v>
      </c>
      <c r="O107" s="23">
        <f>Sales_Table[[#This Row],[Unit Price]]*Sales_Table[[#This Row],[Quantity]]</f>
        <v>116000</v>
      </c>
      <c r="P107" s="23">
        <f>Sales_Table[[#This Row],[Gross Sales]]*Sales_Table[[#This Row],[Discount %]]</f>
        <v>0</v>
      </c>
      <c r="Q107" s="23">
        <f>Sales_Table[[#This Row],[Gross Sales]]-Sales_Table[[#This Row],[Discount]]</f>
        <v>116000</v>
      </c>
      <c r="R107" s="23">
        <f>VLOOKUP(Sales_Table[[#This Row],[Product ID]],Products[],5,FALSE)*Sales_Table[[#This Row],[Quantity]]</f>
        <v>69600</v>
      </c>
      <c r="S107" s="23">
        <f>Sales_Table[[#This Row],[Net Sale]]-Sales_Table[[#This Row],[Total Cost]]</f>
        <v>46400</v>
      </c>
      <c r="T107" s="24">
        <f>Sales_Table[[#This Row],[Profit]]/Sales_Table[[#This Row],[Net Sale]]</f>
        <v>0.4</v>
      </c>
      <c r="U107" s="23" t="str">
        <f>TEXT(Sales_Table[[#This Row],[Order Date]],"mmmm-YYYY")</f>
        <v>November-2026</v>
      </c>
      <c r="V107" s="23">
        <f>YEAR(Sales_Table[[#This Row],[Month]])</f>
        <v>2026</v>
      </c>
      <c r="W107" s="23" t="str">
        <f>TEXT(Sales_Table[[#This Row],[Order Date]],"DDDD")</f>
        <v>Wednesday</v>
      </c>
      <c r="X107" s="23" t="str">
        <f>IF(OR(Sales_Table[[#This Row],[Days ]]=$W$5,Sales_Table[[#This Row],[Days ]]=$W$8),"Weekned","Weekday")</f>
        <v>Weekday</v>
      </c>
      <c r="Y107" s="23" t="str">
        <f>IF(Sales_Table[[#This Row],[Order Status]]="Delivered","Y","N")</f>
        <v>Y</v>
      </c>
      <c r="Z107" s="23" t="str">
        <f>IF(Sales_Table[[#This Row],[Order Status]]="Returned","Yes","N")</f>
        <v>N</v>
      </c>
    </row>
    <row r="108" spans="1:26" ht="15.5" x14ac:dyDescent="0.35">
      <c r="A108" s="20" t="s">
        <v>150</v>
      </c>
      <c r="B108" s="21">
        <v>46354</v>
      </c>
      <c r="C108" s="20" t="s">
        <v>45</v>
      </c>
      <c r="D108" s="20" t="s">
        <v>38</v>
      </c>
      <c r="E108" s="20" t="s">
        <v>14</v>
      </c>
      <c r="F108" s="20" t="s">
        <v>15</v>
      </c>
      <c r="G108" s="20" t="s">
        <v>16</v>
      </c>
      <c r="H108" s="20" t="s">
        <v>17</v>
      </c>
      <c r="I108" s="20">
        <v>11</v>
      </c>
      <c r="J108" s="20">
        <v>35000</v>
      </c>
      <c r="K108" s="22">
        <v>0.1</v>
      </c>
      <c r="L108" s="20" t="str">
        <f>_xlfn.XLOOKUP(Sales_Table[[#This Row],[Product ID]],Products[Product ID],Products[Product Name],"N",0)</f>
        <v>Printer</v>
      </c>
      <c r="M108" s="20" t="str">
        <f>_xlfn.XLOOKUP(Sales_Table[[#This Row],[Employee ID]],Employees[Employee ID],Employees[Employee Name],"N",0)</f>
        <v>Rahul Kumar</v>
      </c>
      <c r="N108" s="20" t="str">
        <f>_xlfn.XLOOKUP(Sales_Table[[#This Row],[Customer ID]],Table22[Customer ID],Table22[Customer Name])</f>
        <v>Future Systems</v>
      </c>
      <c r="O108" s="23">
        <f>Sales_Table[[#This Row],[Unit Price]]*Sales_Table[[#This Row],[Quantity]]</f>
        <v>385000</v>
      </c>
      <c r="P108" s="23">
        <f>Sales_Table[[#This Row],[Gross Sales]]*Sales_Table[[#This Row],[Discount %]]</f>
        <v>38500</v>
      </c>
      <c r="Q108" s="23">
        <f>Sales_Table[[#This Row],[Gross Sales]]-Sales_Table[[#This Row],[Discount]]</f>
        <v>346500</v>
      </c>
      <c r="R108" s="23">
        <f>VLOOKUP(Sales_Table[[#This Row],[Product ID]],Products[],5,FALSE)*Sales_Table[[#This Row],[Quantity]]</f>
        <v>297000</v>
      </c>
      <c r="S108" s="23">
        <f>Sales_Table[[#This Row],[Net Sale]]-Sales_Table[[#This Row],[Total Cost]]</f>
        <v>49500</v>
      </c>
      <c r="T108" s="24">
        <f>Sales_Table[[#This Row],[Profit]]/Sales_Table[[#This Row],[Net Sale]]</f>
        <v>0.14285714285714285</v>
      </c>
      <c r="U108" s="23" t="str">
        <f>TEXT(Sales_Table[[#This Row],[Order Date]],"mmmm-YYYY")</f>
        <v>November-2026</v>
      </c>
      <c r="V108" s="23">
        <f>YEAR(Sales_Table[[#This Row],[Month]])</f>
        <v>2026</v>
      </c>
      <c r="W108" s="23" t="str">
        <f>TEXT(Sales_Table[[#This Row],[Order Date]],"DDDD")</f>
        <v>Saturday</v>
      </c>
      <c r="X108" s="23" t="str">
        <f>IF(OR(Sales_Table[[#This Row],[Days ]]=$W$5,Sales_Table[[#This Row],[Days ]]=$W$8),"Weekned","Weekday")</f>
        <v>Weekned</v>
      </c>
      <c r="Y108" s="23" t="str">
        <f>IF(Sales_Table[[#This Row],[Order Status]]="Delivered","Y","N")</f>
        <v>Y</v>
      </c>
      <c r="Z108" s="23" t="str">
        <f>IF(Sales_Table[[#This Row],[Order Status]]="Returned","Yes","N")</f>
        <v>N</v>
      </c>
    </row>
    <row r="109" spans="1:26" ht="15.5" x14ac:dyDescent="0.35">
      <c r="A109" s="20" t="s">
        <v>151</v>
      </c>
      <c r="B109" s="21">
        <v>46356</v>
      </c>
      <c r="C109" s="20" t="s">
        <v>47</v>
      </c>
      <c r="D109" s="20" t="s">
        <v>42</v>
      </c>
      <c r="E109" s="20" t="s">
        <v>21</v>
      </c>
      <c r="F109" s="20" t="s">
        <v>22</v>
      </c>
      <c r="G109" s="20" t="s">
        <v>16</v>
      </c>
      <c r="H109" s="20" t="s">
        <v>23</v>
      </c>
      <c r="I109" s="20">
        <v>30</v>
      </c>
      <c r="J109" s="20">
        <v>8000</v>
      </c>
      <c r="K109" s="22">
        <v>0.05</v>
      </c>
      <c r="L109" s="20" t="str">
        <f>_xlfn.XLOOKUP(Sales_Table[[#This Row],[Product ID]],Products[Product ID],Products[Product Name],"N",0)</f>
        <v>Headset</v>
      </c>
      <c r="M109" s="20" t="str">
        <f>_xlfn.XLOOKUP(Sales_Table[[#This Row],[Employee ID]],Employees[Employee ID],Employees[Employee Name],"N",0)</f>
        <v>Priya Sharma</v>
      </c>
      <c r="N109" s="20" t="str">
        <f>_xlfn.XLOOKUP(Sales_Table[[#This Row],[Customer ID]],Table22[Customer ID],Table22[Customer Name])</f>
        <v>Prime Digital</v>
      </c>
      <c r="O109" s="23">
        <f>Sales_Table[[#This Row],[Unit Price]]*Sales_Table[[#This Row],[Quantity]]</f>
        <v>240000</v>
      </c>
      <c r="P109" s="23">
        <f>Sales_Table[[#This Row],[Gross Sales]]*Sales_Table[[#This Row],[Discount %]]</f>
        <v>12000</v>
      </c>
      <c r="Q109" s="23">
        <f>Sales_Table[[#This Row],[Gross Sales]]-Sales_Table[[#This Row],[Discount]]</f>
        <v>228000</v>
      </c>
      <c r="R109" s="23">
        <f>VLOOKUP(Sales_Table[[#This Row],[Product ID]],Products[],5,FALSE)*Sales_Table[[#This Row],[Quantity]]</f>
        <v>156000</v>
      </c>
      <c r="S109" s="23">
        <f>Sales_Table[[#This Row],[Net Sale]]-Sales_Table[[#This Row],[Total Cost]]</f>
        <v>72000</v>
      </c>
      <c r="T109" s="24">
        <f>Sales_Table[[#This Row],[Profit]]/Sales_Table[[#This Row],[Net Sale]]</f>
        <v>0.31578947368421051</v>
      </c>
      <c r="U109" s="23" t="str">
        <f>TEXT(Sales_Table[[#This Row],[Order Date]],"mmmm-YYYY")</f>
        <v>November-2026</v>
      </c>
      <c r="V109" s="23">
        <f>YEAR(Sales_Table[[#This Row],[Month]])</f>
        <v>2026</v>
      </c>
      <c r="W109" s="23" t="str">
        <f>TEXT(Sales_Table[[#This Row],[Order Date]],"DDDD")</f>
        <v>Monday</v>
      </c>
      <c r="X109" s="23" t="str">
        <f>IF(OR(Sales_Table[[#This Row],[Days ]]=$W$5,Sales_Table[[#This Row],[Days ]]=$W$8),"Weekned","Weekday")</f>
        <v>Weekday</v>
      </c>
      <c r="Y109" s="23" t="str">
        <f>IF(Sales_Table[[#This Row],[Order Status]]="Delivered","Y","N")</f>
        <v>Y</v>
      </c>
      <c r="Z109" s="23" t="str">
        <f>IF(Sales_Table[[#This Row],[Order Status]]="Returned","Yes","N")</f>
        <v>N</v>
      </c>
    </row>
    <row r="110" spans="1:26" ht="15.5" x14ac:dyDescent="0.35">
      <c r="A110" s="20" t="s">
        <v>152</v>
      </c>
      <c r="B110" s="21">
        <v>46358</v>
      </c>
      <c r="C110" s="20" t="s">
        <v>49</v>
      </c>
      <c r="D110" s="20" t="s">
        <v>13</v>
      </c>
      <c r="E110" s="20" t="s">
        <v>27</v>
      </c>
      <c r="F110" s="20" t="s">
        <v>28</v>
      </c>
      <c r="G110" s="20" t="s">
        <v>16</v>
      </c>
      <c r="H110" s="20" t="s">
        <v>29</v>
      </c>
      <c r="I110" s="20">
        <v>8</v>
      </c>
      <c r="J110" s="20">
        <v>50000</v>
      </c>
      <c r="K110" s="22">
        <v>0.1</v>
      </c>
      <c r="L110" s="20" t="str">
        <f>_xlfn.XLOOKUP(Sales_Table[[#This Row],[Product ID]],Products[Product ID],Products[Product Name],"N",0)</f>
        <v>Laptop</v>
      </c>
      <c r="M110" s="20" t="str">
        <f>_xlfn.XLOOKUP(Sales_Table[[#This Row],[Employee ID]],Employees[Employee ID],Employees[Employee Name],"N",0)</f>
        <v>Arjun Reddy</v>
      </c>
      <c r="N110" s="20" t="str">
        <f>_xlfn.XLOOKUP(Sales_Table[[#This Row],[Customer ID]],Table22[Customer ID],Table22[Customer Name])</f>
        <v>Smart World</v>
      </c>
      <c r="O110" s="23">
        <f>Sales_Table[[#This Row],[Unit Price]]*Sales_Table[[#This Row],[Quantity]]</f>
        <v>400000</v>
      </c>
      <c r="P110" s="23">
        <f>Sales_Table[[#This Row],[Gross Sales]]*Sales_Table[[#This Row],[Discount %]]</f>
        <v>40000</v>
      </c>
      <c r="Q110" s="23">
        <f>Sales_Table[[#This Row],[Gross Sales]]-Sales_Table[[#This Row],[Discount]]</f>
        <v>360000</v>
      </c>
      <c r="R110" s="23">
        <f>VLOOKUP(Sales_Table[[#This Row],[Product ID]],Products[],5,FALSE)*Sales_Table[[#This Row],[Quantity]]</f>
        <v>312000</v>
      </c>
      <c r="S110" s="23">
        <f>Sales_Table[[#This Row],[Net Sale]]-Sales_Table[[#This Row],[Total Cost]]</f>
        <v>48000</v>
      </c>
      <c r="T110" s="24">
        <f>Sales_Table[[#This Row],[Profit]]/Sales_Table[[#This Row],[Net Sale]]</f>
        <v>0.13333333333333333</v>
      </c>
      <c r="U110" s="23" t="str">
        <f>TEXT(Sales_Table[[#This Row],[Order Date]],"mmmm-YYYY")</f>
        <v>December-2026</v>
      </c>
      <c r="V110" s="23">
        <f>YEAR(Sales_Table[[#This Row],[Month]])</f>
        <v>2026</v>
      </c>
      <c r="W110" s="23" t="str">
        <f>TEXT(Sales_Table[[#This Row],[Order Date]],"DDDD")</f>
        <v>Wednesday</v>
      </c>
      <c r="X110" s="23" t="str">
        <f>IF(OR(Sales_Table[[#This Row],[Days ]]=$W$5,Sales_Table[[#This Row],[Days ]]=$W$8),"Weekned","Weekday")</f>
        <v>Weekday</v>
      </c>
      <c r="Y110" s="23" t="str">
        <f>IF(Sales_Table[[#This Row],[Order Status]]="Delivered","Y","N")</f>
        <v>Y</v>
      </c>
      <c r="Z110" s="23" t="str">
        <f>IF(Sales_Table[[#This Row],[Order Status]]="Returned","Yes","N")</f>
        <v>N</v>
      </c>
    </row>
    <row r="111" spans="1:26" ht="15.5" x14ac:dyDescent="0.35">
      <c r="A111" s="20" t="s">
        <v>153</v>
      </c>
      <c r="B111" s="21">
        <v>46360</v>
      </c>
      <c r="C111" s="20" t="s">
        <v>51</v>
      </c>
      <c r="D111" s="20" t="s">
        <v>20</v>
      </c>
      <c r="E111" s="20" t="s">
        <v>33</v>
      </c>
      <c r="F111" s="20" t="s">
        <v>34</v>
      </c>
      <c r="G111" s="20" t="s">
        <v>16</v>
      </c>
      <c r="H111" s="20" t="s">
        <v>17</v>
      </c>
      <c r="I111" s="20">
        <v>20</v>
      </c>
      <c r="J111" s="20">
        <v>25000</v>
      </c>
      <c r="K111" s="22">
        <v>0.15</v>
      </c>
      <c r="L111" s="20" t="str">
        <f>_xlfn.XLOOKUP(Sales_Table[[#This Row],[Product ID]],Products[Product ID],Products[Product Name],"N",0)</f>
        <v>Monitor</v>
      </c>
      <c r="M111" s="20" t="str">
        <f>_xlfn.XLOOKUP(Sales_Table[[#This Row],[Employee ID]],Employees[Employee ID],Employees[Employee Name],"N",0)</f>
        <v>Sneha Patel</v>
      </c>
      <c r="N111" s="20" t="str">
        <f>_xlfn.XLOOKUP(Sales_Table[[#This Row],[Customer ID]],Table22[Customer ID],Table22[Customer Name])</f>
        <v>NextGen Solutions</v>
      </c>
      <c r="O111" s="23">
        <f>Sales_Table[[#This Row],[Unit Price]]*Sales_Table[[#This Row],[Quantity]]</f>
        <v>500000</v>
      </c>
      <c r="P111" s="23">
        <f>Sales_Table[[#This Row],[Gross Sales]]*Sales_Table[[#This Row],[Discount %]]</f>
        <v>75000</v>
      </c>
      <c r="Q111" s="23">
        <f>Sales_Table[[#This Row],[Gross Sales]]-Sales_Table[[#This Row],[Discount]]</f>
        <v>425000</v>
      </c>
      <c r="R111" s="23">
        <f>VLOOKUP(Sales_Table[[#This Row],[Product ID]],Products[],5,FALSE)*Sales_Table[[#This Row],[Quantity]]</f>
        <v>380000</v>
      </c>
      <c r="S111" s="23">
        <f>Sales_Table[[#This Row],[Net Sale]]-Sales_Table[[#This Row],[Total Cost]]</f>
        <v>45000</v>
      </c>
      <c r="T111" s="24">
        <f>Sales_Table[[#This Row],[Profit]]/Sales_Table[[#This Row],[Net Sale]]</f>
        <v>0.10588235294117647</v>
      </c>
      <c r="U111" s="23" t="str">
        <f>TEXT(Sales_Table[[#This Row],[Order Date]],"mmmm-YYYY")</f>
        <v>December-2026</v>
      </c>
      <c r="V111" s="23">
        <f>YEAR(Sales_Table[[#This Row],[Month]])</f>
        <v>2026</v>
      </c>
      <c r="W111" s="23" t="str">
        <f>TEXT(Sales_Table[[#This Row],[Order Date]],"DDDD")</f>
        <v>Friday</v>
      </c>
      <c r="X111" s="23" t="str">
        <f>IF(OR(Sales_Table[[#This Row],[Days ]]=$W$5,Sales_Table[[#This Row],[Days ]]=$W$8),"Weekned","Weekday")</f>
        <v>Weekday</v>
      </c>
      <c r="Y111" s="23" t="str">
        <f>IF(Sales_Table[[#This Row],[Order Status]]="Delivered","Y","N")</f>
        <v>Y</v>
      </c>
      <c r="Z111" s="23" t="str">
        <f>IF(Sales_Table[[#This Row],[Order Status]]="Returned","Yes","N")</f>
        <v>N</v>
      </c>
    </row>
    <row r="112" spans="1:26" ht="15.5" x14ac:dyDescent="0.35">
      <c r="A112" s="20" t="s">
        <v>154</v>
      </c>
      <c r="B112" s="21">
        <v>46362</v>
      </c>
      <c r="C112" s="20" t="s">
        <v>12</v>
      </c>
      <c r="D112" s="20" t="s">
        <v>26</v>
      </c>
      <c r="E112" s="20" t="s">
        <v>39</v>
      </c>
      <c r="F112" s="20" t="s">
        <v>15</v>
      </c>
      <c r="G112" s="20" t="s">
        <v>16</v>
      </c>
      <c r="H112" s="20" t="s">
        <v>23</v>
      </c>
      <c r="I112" s="20">
        <v>48</v>
      </c>
      <c r="J112" s="20">
        <v>5000</v>
      </c>
      <c r="K112" s="22">
        <v>0.05</v>
      </c>
      <c r="L112" s="20" t="str">
        <f>_xlfn.XLOOKUP(Sales_Table[[#This Row],[Product ID]],Products[Product ID],Products[Product Name],"N",0)</f>
        <v>Keyboard</v>
      </c>
      <c r="M112" s="20" t="str">
        <f>_xlfn.XLOOKUP(Sales_Table[[#This Row],[Employee ID]],Employees[Employee ID],Employees[Employee Name],"N",0)</f>
        <v>Kiran Rao</v>
      </c>
      <c r="N112" s="20" t="str">
        <f>_xlfn.XLOOKUP(Sales_Table[[#This Row],[Customer ID]],Table22[Customer ID],Table22[Customer Name])</f>
        <v>ABC Technologies</v>
      </c>
      <c r="O112" s="23">
        <f>Sales_Table[[#This Row],[Unit Price]]*Sales_Table[[#This Row],[Quantity]]</f>
        <v>240000</v>
      </c>
      <c r="P112" s="23">
        <f>Sales_Table[[#This Row],[Gross Sales]]*Sales_Table[[#This Row],[Discount %]]</f>
        <v>12000</v>
      </c>
      <c r="Q112" s="23">
        <f>Sales_Table[[#This Row],[Gross Sales]]-Sales_Table[[#This Row],[Discount]]</f>
        <v>228000</v>
      </c>
      <c r="R112" s="23">
        <f>VLOOKUP(Sales_Table[[#This Row],[Product ID]],Products[],5,FALSE)*Sales_Table[[#This Row],[Quantity]]</f>
        <v>168000</v>
      </c>
      <c r="S112" s="23">
        <f>Sales_Table[[#This Row],[Net Sale]]-Sales_Table[[#This Row],[Total Cost]]</f>
        <v>60000</v>
      </c>
      <c r="T112" s="24">
        <f>Sales_Table[[#This Row],[Profit]]/Sales_Table[[#This Row],[Net Sale]]</f>
        <v>0.26315789473684209</v>
      </c>
      <c r="U112" s="23" t="str">
        <f>TEXT(Sales_Table[[#This Row],[Order Date]],"mmmm-YYYY")</f>
        <v>December-2026</v>
      </c>
      <c r="V112" s="23">
        <f>YEAR(Sales_Table[[#This Row],[Month]])</f>
        <v>2026</v>
      </c>
      <c r="W112" s="23" t="str">
        <f>TEXT(Sales_Table[[#This Row],[Order Date]],"DDDD")</f>
        <v>Sunday</v>
      </c>
      <c r="X112" s="23" t="str">
        <f>IF(OR(Sales_Table[[#This Row],[Days ]]=$W$5,Sales_Table[[#This Row],[Days ]]=$W$8),"Weekned","Weekday")</f>
        <v>Weekned</v>
      </c>
      <c r="Y112" s="23" t="str">
        <f>IF(Sales_Table[[#This Row],[Order Status]]="Delivered","Y","N")</f>
        <v>Y</v>
      </c>
      <c r="Z112" s="23" t="str">
        <f>IF(Sales_Table[[#This Row],[Order Status]]="Returned","Yes","N")</f>
        <v>N</v>
      </c>
    </row>
    <row r="113" spans="1:26" ht="15.5" x14ac:dyDescent="0.35">
      <c r="A113" s="20" t="s">
        <v>155</v>
      </c>
      <c r="B113" s="21">
        <v>46364</v>
      </c>
      <c r="C113" s="20" t="s">
        <v>19</v>
      </c>
      <c r="D113" s="20" t="s">
        <v>32</v>
      </c>
      <c r="E113" s="20" t="s">
        <v>43</v>
      </c>
      <c r="F113" s="20" t="s">
        <v>22</v>
      </c>
      <c r="G113" s="20" t="s">
        <v>16</v>
      </c>
      <c r="H113" s="20" t="s">
        <v>35</v>
      </c>
      <c r="I113" s="20">
        <v>55</v>
      </c>
      <c r="J113" s="20">
        <v>2000</v>
      </c>
      <c r="K113" s="22">
        <v>0</v>
      </c>
      <c r="L113" s="20" t="str">
        <f>_xlfn.XLOOKUP(Sales_Table[[#This Row],[Product ID]],Products[Product ID],Products[Product Name],"N",0)</f>
        <v>Mouse</v>
      </c>
      <c r="M113" s="20" t="str">
        <f>_xlfn.XLOOKUP(Sales_Table[[#This Row],[Employee ID]],Employees[Employee ID],Employees[Employee Name],"N",0)</f>
        <v>Anjali Singh</v>
      </c>
      <c r="N113" s="20" t="str">
        <f>_xlfn.XLOOKUP(Sales_Table[[#This Row],[Customer ID]],Table22[Customer ID],Table22[Customer Name])</f>
        <v>Sri Lakshmi Traders</v>
      </c>
      <c r="O113" s="23">
        <f>Sales_Table[[#This Row],[Unit Price]]*Sales_Table[[#This Row],[Quantity]]</f>
        <v>110000</v>
      </c>
      <c r="P113" s="23">
        <f>Sales_Table[[#This Row],[Gross Sales]]*Sales_Table[[#This Row],[Discount %]]</f>
        <v>0</v>
      </c>
      <c r="Q113" s="23">
        <f>Sales_Table[[#This Row],[Gross Sales]]-Sales_Table[[#This Row],[Discount]]</f>
        <v>110000</v>
      </c>
      <c r="R113" s="23">
        <f>VLOOKUP(Sales_Table[[#This Row],[Product ID]],Products[],5,FALSE)*Sales_Table[[#This Row],[Quantity]]</f>
        <v>66000</v>
      </c>
      <c r="S113" s="23">
        <f>Sales_Table[[#This Row],[Net Sale]]-Sales_Table[[#This Row],[Total Cost]]</f>
        <v>44000</v>
      </c>
      <c r="T113" s="24">
        <f>Sales_Table[[#This Row],[Profit]]/Sales_Table[[#This Row],[Net Sale]]</f>
        <v>0.4</v>
      </c>
      <c r="U113" s="23" t="str">
        <f>TEXT(Sales_Table[[#This Row],[Order Date]],"mmmm-YYYY")</f>
        <v>December-2026</v>
      </c>
      <c r="V113" s="23">
        <f>YEAR(Sales_Table[[#This Row],[Month]])</f>
        <v>2026</v>
      </c>
      <c r="W113" s="23" t="str">
        <f>TEXT(Sales_Table[[#This Row],[Order Date]],"DDDD")</f>
        <v>Tuesday</v>
      </c>
      <c r="X113" s="23" t="str">
        <f>IF(OR(Sales_Table[[#This Row],[Days ]]=$W$5,Sales_Table[[#This Row],[Days ]]=$W$8),"Weekned","Weekday")</f>
        <v>Weekday</v>
      </c>
      <c r="Y113" s="23" t="str">
        <f>IF(Sales_Table[[#This Row],[Order Status]]="Delivered","Y","N")</f>
        <v>Y</v>
      </c>
      <c r="Z113" s="23" t="str">
        <f>IF(Sales_Table[[#This Row],[Order Status]]="Returned","Yes","N")</f>
        <v>N</v>
      </c>
    </row>
    <row r="114" spans="1:26" ht="15.5" x14ac:dyDescent="0.35">
      <c r="A114" s="20" t="s">
        <v>156</v>
      </c>
      <c r="B114" s="21">
        <v>46366</v>
      </c>
      <c r="C114" s="20" t="s">
        <v>25</v>
      </c>
      <c r="D114" s="20" t="s">
        <v>38</v>
      </c>
      <c r="E114" s="20" t="s">
        <v>14</v>
      </c>
      <c r="F114" s="20" t="s">
        <v>28</v>
      </c>
      <c r="G114" s="20" t="s">
        <v>16</v>
      </c>
      <c r="H114" s="20" t="s">
        <v>29</v>
      </c>
      <c r="I114" s="20">
        <v>14</v>
      </c>
      <c r="J114" s="20">
        <v>35000</v>
      </c>
      <c r="K114" s="22">
        <v>0.1</v>
      </c>
      <c r="L114" s="20" t="str">
        <f>_xlfn.XLOOKUP(Sales_Table[[#This Row],[Product ID]],Products[Product ID],Products[Product Name],"N",0)</f>
        <v>Printer</v>
      </c>
      <c r="M114" s="20" t="str">
        <f>_xlfn.XLOOKUP(Sales_Table[[#This Row],[Employee ID]],Employees[Employee ID],Employees[Employee Name],"N",0)</f>
        <v>Rahul Kumar</v>
      </c>
      <c r="N114" s="20" t="str">
        <f>_xlfn.XLOOKUP(Sales_Table[[#This Row],[Customer ID]],Table22[Customer ID],Table22[Customer Name])</f>
        <v>Vertex Solutions</v>
      </c>
      <c r="O114" s="23">
        <f>Sales_Table[[#This Row],[Unit Price]]*Sales_Table[[#This Row],[Quantity]]</f>
        <v>490000</v>
      </c>
      <c r="P114" s="23">
        <f>Sales_Table[[#This Row],[Gross Sales]]*Sales_Table[[#This Row],[Discount %]]</f>
        <v>49000</v>
      </c>
      <c r="Q114" s="23">
        <f>Sales_Table[[#This Row],[Gross Sales]]-Sales_Table[[#This Row],[Discount]]</f>
        <v>441000</v>
      </c>
      <c r="R114" s="23">
        <f>VLOOKUP(Sales_Table[[#This Row],[Product ID]],Products[],5,FALSE)*Sales_Table[[#This Row],[Quantity]]</f>
        <v>378000</v>
      </c>
      <c r="S114" s="23">
        <f>Sales_Table[[#This Row],[Net Sale]]-Sales_Table[[#This Row],[Total Cost]]</f>
        <v>63000</v>
      </c>
      <c r="T114" s="24">
        <f>Sales_Table[[#This Row],[Profit]]/Sales_Table[[#This Row],[Net Sale]]</f>
        <v>0.14285714285714285</v>
      </c>
      <c r="U114" s="23" t="str">
        <f>TEXT(Sales_Table[[#This Row],[Order Date]],"mmmm-YYYY")</f>
        <v>December-2026</v>
      </c>
      <c r="V114" s="23">
        <f>YEAR(Sales_Table[[#This Row],[Month]])</f>
        <v>2026</v>
      </c>
      <c r="W114" s="23" t="str">
        <f>TEXT(Sales_Table[[#This Row],[Order Date]],"DDDD")</f>
        <v>Thursday</v>
      </c>
      <c r="X114" s="23" t="str">
        <f>IF(OR(Sales_Table[[#This Row],[Days ]]=$W$5,Sales_Table[[#This Row],[Days ]]=$W$8),"Weekned","Weekday")</f>
        <v>Weekday</v>
      </c>
      <c r="Y114" s="23" t="str">
        <f>IF(Sales_Table[[#This Row],[Order Status]]="Delivered","Y","N")</f>
        <v>Y</v>
      </c>
      <c r="Z114" s="23" t="str">
        <f>IF(Sales_Table[[#This Row],[Order Status]]="Returned","Yes","N")</f>
        <v>N</v>
      </c>
    </row>
    <row r="115" spans="1:26" ht="15.5" x14ac:dyDescent="0.35">
      <c r="A115" s="20" t="s">
        <v>157</v>
      </c>
      <c r="B115" s="21">
        <v>46368</v>
      </c>
      <c r="C115" s="20" t="s">
        <v>31</v>
      </c>
      <c r="D115" s="20" t="s">
        <v>42</v>
      </c>
      <c r="E115" s="20" t="s">
        <v>21</v>
      </c>
      <c r="F115" s="20" t="s">
        <v>34</v>
      </c>
      <c r="G115" s="20" t="s">
        <v>16</v>
      </c>
      <c r="H115" s="20" t="s">
        <v>17</v>
      </c>
      <c r="I115" s="20">
        <v>32</v>
      </c>
      <c r="J115" s="20">
        <v>8000</v>
      </c>
      <c r="K115" s="22">
        <v>0.05</v>
      </c>
      <c r="L115" s="20" t="str">
        <f>_xlfn.XLOOKUP(Sales_Table[[#This Row],[Product ID]],Products[Product ID],Products[Product Name],"N",0)</f>
        <v>Headset</v>
      </c>
      <c r="M115" s="20" t="str">
        <f>_xlfn.XLOOKUP(Sales_Table[[#This Row],[Employee ID]],Employees[Employee ID],Employees[Employee Name],"N",0)</f>
        <v>Priya Sharma</v>
      </c>
      <c r="N115" s="20" t="str">
        <f>_xlfn.XLOOKUP(Sales_Table[[#This Row],[Customer ID]],Table22[Customer ID],Table22[Customer Name])</f>
        <v>Royal Enterprises</v>
      </c>
      <c r="O115" s="23">
        <f>Sales_Table[[#This Row],[Unit Price]]*Sales_Table[[#This Row],[Quantity]]</f>
        <v>256000</v>
      </c>
      <c r="P115" s="23">
        <f>Sales_Table[[#This Row],[Gross Sales]]*Sales_Table[[#This Row],[Discount %]]</f>
        <v>12800</v>
      </c>
      <c r="Q115" s="23">
        <f>Sales_Table[[#This Row],[Gross Sales]]-Sales_Table[[#This Row],[Discount]]</f>
        <v>243200</v>
      </c>
      <c r="R115" s="23">
        <f>VLOOKUP(Sales_Table[[#This Row],[Product ID]],Products[],5,FALSE)*Sales_Table[[#This Row],[Quantity]]</f>
        <v>166400</v>
      </c>
      <c r="S115" s="23">
        <f>Sales_Table[[#This Row],[Net Sale]]-Sales_Table[[#This Row],[Total Cost]]</f>
        <v>76800</v>
      </c>
      <c r="T115" s="24">
        <f>Sales_Table[[#This Row],[Profit]]/Sales_Table[[#This Row],[Net Sale]]</f>
        <v>0.31578947368421051</v>
      </c>
      <c r="U115" s="23" t="str">
        <f>TEXT(Sales_Table[[#This Row],[Order Date]],"mmmm-YYYY")</f>
        <v>December-2026</v>
      </c>
      <c r="V115" s="23">
        <f>YEAR(Sales_Table[[#This Row],[Month]])</f>
        <v>2026</v>
      </c>
      <c r="W115" s="23" t="str">
        <f>TEXT(Sales_Table[[#This Row],[Order Date]],"DDDD")</f>
        <v>Saturday</v>
      </c>
      <c r="X115" s="23" t="str">
        <f>IF(OR(Sales_Table[[#This Row],[Days ]]=$W$5,Sales_Table[[#This Row],[Days ]]=$W$8),"Weekned","Weekday")</f>
        <v>Weekned</v>
      </c>
      <c r="Y115" s="23" t="str">
        <f>IF(Sales_Table[[#This Row],[Order Status]]="Delivered","Y","N")</f>
        <v>Y</v>
      </c>
      <c r="Z115" s="23" t="str">
        <f>IF(Sales_Table[[#This Row],[Order Status]]="Returned","Yes","N")</f>
        <v>N</v>
      </c>
    </row>
    <row r="116" spans="1:26" ht="15.5" x14ac:dyDescent="0.35">
      <c r="A116" s="20" t="s">
        <v>158</v>
      </c>
      <c r="B116" s="21">
        <v>46370</v>
      </c>
      <c r="C116" s="20" t="s">
        <v>37</v>
      </c>
      <c r="D116" s="20" t="s">
        <v>13</v>
      </c>
      <c r="E116" s="20" t="s">
        <v>27</v>
      </c>
      <c r="F116" s="20" t="s">
        <v>15</v>
      </c>
      <c r="G116" s="20" t="s">
        <v>16</v>
      </c>
      <c r="H116" s="20" t="s">
        <v>23</v>
      </c>
      <c r="I116" s="20">
        <v>7</v>
      </c>
      <c r="J116" s="20">
        <v>50000</v>
      </c>
      <c r="K116" s="22">
        <v>0.12</v>
      </c>
      <c r="L116" s="20" t="str">
        <f>_xlfn.XLOOKUP(Sales_Table[[#This Row],[Product ID]],Products[Product ID],Products[Product Name],"N",0)</f>
        <v>Laptop</v>
      </c>
      <c r="M116" s="20" t="str">
        <f>_xlfn.XLOOKUP(Sales_Table[[#This Row],[Employee ID]],Employees[Employee ID],Employees[Employee Name],"N",0)</f>
        <v>Arjun Reddy</v>
      </c>
      <c r="N116" s="20" t="str">
        <f>_xlfn.XLOOKUP(Sales_Table[[#This Row],[Customer ID]],Table22[Customer ID],Table22[Customer Name])</f>
        <v>TechNova Pvt Ltd</v>
      </c>
      <c r="O116" s="23">
        <f>Sales_Table[[#This Row],[Unit Price]]*Sales_Table[[#This Row],[Quantity]]</f>
        <v>350000</v>
      </c>
      <c r="P116" s="23">
        <f>Sales_Table[[#This Row],[Gross Sales]]*Sales_Table[[#This Row],[Discount %]]</f>
        <v>42000</v>
      </c>
      <c r="Q116" s="23">
        <f>Sales_Table[[#This Row],[Gross Sales]]-Sales_Table[[#This Row],[Discount]]</f>
        <v>308000</v>
      </c>
      <c r="R116" s="23">
        <f>VLOOKUP(Sales_Table[[#This Row],[Product ID]],Products[],5,FALSE)*Sales_Table[[#This Row],[Quantity]]</f>
        <v>273000</v>
      </c>
      <c r="S116" s="23">
        <f>Sales_Table[[#This Row],[Net Sale]]-Sales_Table[[#This Row],[Total Cost]]</f>
        <v>35000</v>
      </c>
      <c r="T116" s="24">
        <f>Sales_Table[[#This Row],[Profit]]/Sales_Table[[#This Row],[Net Sale]]</f>
        <v>0.11363636363636363</v>
      </c>
      <c r="U116" s="23" t="str">
        <f>TEXT(Sales_Table[[#This Row],[Order Date]],"mmmm-YYYY")</f>
        <v>December-2026</v>
      </c>
      <c r="V116" s="23">
        <f>YEAR(Sales_Table[[#This Row],[Month]])</f>
        <v>2026</v>
      </c>
      <c r="W116" s="23" t="str">
        <f>TEXT(Sales_Table[[#This Row],[Order Date]],"DDDD")</f>
        <v>Monday</v>
      </c>
      <c r="X116" s="23" t="str">
        <f>IF(OR(Sales_Table[[#This Row],[Days ]]=$W$5,Sales_Table[[#This Row],[Days ]]=$W$8),"Weekned","Weekday")</f>
        <v>Weekday</v>
      </c>
      <c r="Y116" s="23" t="str">
        <f>IF(Sales_Table[[#This Row],[Order Status]]="Delivered","Y","N")</f>
        <v>Y</v>
      </c>
      <c r="Z116" s="23" t="str">
        <f>IF(Sales_Table[[#This Row],[Order Status]]="Returned","Yes","N")</f>
        <v>N</v>
      </c>
    </row>
    <row r="117" spans="1:26" ht="15.5" x14ac:dyDescent="0.35">
      <c r="A117" s="20" t="s">
        <v>159</v>
      </c>
      <c r="B117" s="21">
        <v>46372</v>
      </c>
      <c r="C117" s="20" t="s">
        <v>41</v>
      </c>
      <c r="D117" s="20" t="s">
        <v>20</v>
      </c>
      <c r="E117" s="20" t="s">
        <v>33</v>
      </c>
      <c r="F117" s="20" t="s">
        <v>22</v>
      </c>
      <c r="G117" s="20" t="s">
        <v>16</v>
      </c>
      <c r="H117" s="20" t="s">
        <v>29</v>
      </c>
      <c r="I117" s="20">
        <v>24</v>
      </c>
      <c r="J117" s="20">
        <v>25000</v>
      </c>
      <c r="K117" s="22">
        <v>0.1</v>
      </c>
      <c r="L117" s="20" t="str">
        <f>_xlfn.XLOOKUP(Sales_Table[[#This Row],[Product ID]],Products[Product ID],Products[Product Name],"N",0)</f>
        <v>Monitor</v>
      </c>
      <c r="M117" s="20" t="str">
        <f>_xlfn.XLOOKUP(Sales_Table[[#This Row],[Employee ID]],Employees[Employee ID],Employees[Employee Name],"N",0)</f>
        <v>Sneha Patel</v>
      </c>
      <c r="N117" s="20" t="str">
        <f>_xlfn.XLOOKUP(Sales_Table[[#This Row],[Customer ID]],Table22[Customer ID],Table22[Customer Name])</f>
        <v>Metro Computers</v>
      </c>
      <c r="O117" s="23">
        <f>Sales_Table[[#This Row],[Unit Price]]*Sales_Table[[#This Row],[Quantity]]</f>
        <v>600000</v>
      </c>
      <c r="P117" s="23">
        <f>Sales_Table[[#This Row],[Gross Sales]]*Sales_Table[[#This Row],[Discount %]]</f>
        <v>60000</v>
      </c>
      <c r="Q117" s="23">
        <f>Sales_Table[[#This Row],[Gross Sales]]-Sales_Table[[#This Row],[Discount]]</f>
        <v>540000</v>
      </c>
      <c r="R117" s="23">
        <f>VLOOKUP(Sales_Table[[#This Row],[Product ID]],Products[],5,FALSE)*Sales_Table[[#This Row],[Quantity]]</f>
        <v>456000</v>
      </c>
      <c r="S117" s="23">
        <f>Sales_Table[[#This Row],[Net Sale]]-Sales_Table[[#This Row],[Total Cost]]</f>
        <v>84000</v>
      </c>
      <c r="T117" s="24">
        <f>Sales_Table[[#This Row],[Profit]]/Sales_Table[[#This Row],[Net Sale]]</f>
        <v>0.15555555555555556</v>
      </c>
      <c r="U117" s="23" t="str">
        <f>TEXT(Sales_Table[[#This Row],[Order Date]],"mmmm-YYYY")</f>
        <v>December-2026</v>
      </c>
      <c r="V117" s="23">
        <f>YEAR(Sales_Table[[#This Row],[Month]])</f>
        <v>2026</v>
      </c>
      <c r="W117" s="23" t="str">
        <f>TEXT(Sales_Table[[#This Row],[Order Date]],"DDDD")</f>
        <v>Wednesday</v>
      </c>
      <c r="X117" s="23" t="str">
        <f>IF(OR(Sales_Table[[#This Row],[Days ]]=$W$5,Sales_Table[[#This Row],[Days ]]=$W$8),"Weekned","Weekday")</f>
        <v>Weekday</v>
      </c>
      <c r="Y117" s="23" t="str">
        <f>IF(Sales_Table[[#This Row],[Order Status]]="Delivered","Y","N")</f>
        <v>Y</v>
      </c>
      <c r="Z117" s="23" t="str">
        <f>IF(Sales_Table[[#This Row],[Order Status]]="Returned","Yes","N")</f>
        <v>N</v>
      </c>
    </row>
    <row r="118" spans="1:26" ht="15.5" x14ac:dyDescent="0.35">
      <c r="A118" s="20" t="s">
        <v>160</v>
      </c>
      <c r="B118" s="21">
        <v>46374</v>
      </c>
      <c r="C118" s="20" t="s">
        <v>45</v>
      </c>
      <c r="D118" s="20" t="s">
        <v>26</v>
      </c>
      <c r="E118" s="20" t="s">
        <v>39</v>
      </c>
      <c r="F118" s="20" t="s">
        <v>28</v>
      </c>
      <c r="G118" s="20" t="s">
        <v>16</v>
      </c>
      <c r="H118" s="20" t="s">
        <v>17</v>
      </c>
      <c r="I118" s="20">
        <v>42</v>
      </c>
      <c r="J118" s="20">
        <v>5000</v>
      </c>
      <c r="K118" s="22">
        <v>0.05</v>
      </c>
      <c r="L118" s="20" t="str">
        <f>_xlfn.XLOOKUP(Sales_Table[[#This Row],[Product ID]],Products[Product ID],Products[Product Name],"N",0)</f>
        <v>Keyboard</v>
      </c>
      <c r="M118" s="20" t="str">
        <f>_xlfn.XLOOKUP(Sales_Table[[#This Row],[Employee ID]],Employees[Employee ID],Employees[Employee Name],"N",0)</f>
        <v>Kiran Rao</v>
      </c>
      <c r="N118" s="20" t="str">
        <f>_xlfn.XLOOKUP(Sales_Table[[#This Row],[Customer ID]],Table22[Customer ID],Table22[Customer Name])</f>
        <v>Future Systems</v>
      </c>
      <c r="O118" s="23">
        <f>Sales_Table[[#This Row],[Unit Price]]*Sales_Table[[#This Row],[Quantity]]</f>
        <v>210000</v>
      </c>
      <c r="P118" s="23">
        <f>Sales_Table[[#This Row],[Gross Sales]]*Sales_Table[[#This Row],[Discount %]]</f>
        <v>10500</v>
      </c>
      <c r="Q118" s="23">
        <f>Sales_Table[[#This Row],[Gross Sales]]-Sales_Table[[#This Row],[Discount]]</f>
        <v>199500</v>
      </c>
      <c r="R118" s="23">
        <f>VLOOKUP(Sales_Table[[#This Row],[Product ID]],Products[],5,FALSE)*Sales_Table[[#This Row],[Quantity]]</f>
        <v>147000</v>
      </c>
      <c r="S118" s="23">
        <f>Sales_Table[[#This Row],[Net Sale]]-Sales_Table[[#This Row],[Total Cost]]</f>
        <v>52500</v>
      </c>
      <c r="T118" s="24">
        <f>Sales_Table[[#This Row],[Profit]]/Sales_Table[[#This Row],[Net Sale]]</f>
        <v>0.26315789473684209</v>
      </c>
      <c r="U118" s="23" t="str">
        <f>TEXT(Sales_Table[[#This Row],[Order Date]],"mmmm-YYYY")</f>
        <v>December-2026</v>
      </c>
      <c r="V118" s="23">
        <f>YEAR(Sales_Table[[#This Row],[Month]])</f>
        <v>2026</v>
      </c>
      <c r="W118" s="23" t="str">
        <f>TEXT(Sales_Table[[#This Row],[Order Date]],"DDDD")</f>
        <v>Friday</v>
      </c>
      <c r="X118" s="23" t="str">
        <f>IF(OR(Sales_Table[[#This Row],[Days ]]=$W$5,Sales_Table[[#This Row],[Days ]]=$W$8),"Weekned","Weekday")</f>
        <v>Weekday</v>
      </c>
      <c r="Y118" s="23" t="str">
        <f>IF(Sales_Table[[#This Row],[Order Status]]="Delivered","Y","N")</f>
        <v>Y</v>
      </c>
      <c r="Z118" s="23" t="str">
        <f>IF(Sales_Table[[#This Row],[Order Status]]="Returned","Yes","N")</f>
        <v>N</v>
      </c>
    </row>
    <row r="119" spans="1:26" ht="15.5" x14ac:dyDescent="0.35">
      <c r="A119" s="20" t="s">
        <v>161</v>
      </c>
      <c r="B119" s="21">
        <v>46376</v>
      </c>
      <c r="C119" s="20" t="s">
        <v>47</v>
      </c>
      <c r="D119" s="20" t="s">
        <v>32</v>
      </c>
      <c r="E119" s="20" t="s">
        <v>43</v>
      </c>
      <c r="F119" s="20" t="s">
        <v>34</v>
      </c>
      <c r="G119" s="20" t="s">
        <v>16</v>
      </c>
      <c r="H119" s="20" t="s">
        <v>35</v>
      </c>
      <c r="I119" s="20">
        <v>60</v>
      </c>
      <c r="J119" s="20">
        <v>2000</v>
      </c>
      <c r="K119" s="22">
        <v>0</v>
      </c>
      <c r="L119" s="20" t="str">
        <f>_xlfn.XLOOKUP(Sales_Table[[#This Row],[Product ID]],Products[Product ID],Products[Product Name],"N",0)</f>
        <v>Mouse</v>
      </c>
      <c r="M119" s="20" t="str">
        <f>_xlfn.XLOOKUP(Sales_Table[[#This Row],[Employee ID]],Employees[Employee ID],Employees[Employee Name],"N",0)</f>
        <v>Anjali Singh</v>
      </c>
      <c r="N119" s="20" t="str">
        <f>_xlfn.XLOOKUP(Sales_Table[[#This Row],[Customer ID]],Table22[Customer ID],Table22[Customer Name])</f>
        <v>Prime Digital</v>
      </c>
      <c r="O119" s="23">
        <f>Sales_Table[[#This Row],[Unit Price]]*Sales_Table[[#This Row],[Quantity]]</f>
        <v>120000</v>
      </c>
      <c r="P119" s="23">
        <f>Sales_Table[[#This Row],[Gross Sales]]*Sales_Table[[#This Row],[Discount %]]</f>
        <v>0</v>
      </c>
      <c r="Q119" s="23">
        <f>Sales_Table[[#This Row],[Gross Sales]]-Sales_Table[[#This Row],[Discount]]</f>
        <v>120000</v>
      </c>
      <c r="R119" s="23">
        <f>VLOOKUP(Sales_Table[[#This Row],[Product ID]],Products[],5,FALSE)*Sales_Table[[#This Row],[Quantity]]</f>
        <v>72000</v>
      </c>
      <c r="S119" s="23">
        <f>Sales_Table[[#This Row],[Net Sale]]-Sales_Table[[#This Row],[Total Cost]]</f>
        <v>48000</v>
      </c>
      <c r="T119" s="24">
        <f>Sales_Table[[#This Row],[Profit]]/Sales_Table[[#This Row],[Net Sale]]</f>
        <v>0.4</v>
      </c>
      <c r="U119" s="23" t="str">
        <f>TEXT(Sales_Table[[#This Row],[Order Date]],"mmmm-YYYY")</f>
        <v>December-2026</v>
      </c>
      <c r="V119" s="23">
        <f>YEAR(Sales_Table[[#This Row],[Month]])</f>
        <v>2026</v>
      </c>
      <c r="W119" s="23" t="str">
        <f>TEXT(Sales_Table[[#This Row],[Order Date]],"DDDD")</f>
        <v>Sunday</v>
      </c>
      <c r="X119" s="23" t="str">
        <f>IF(OR(Sales_Table[[#This Row],[Days ]]=$W$5,Sales_Table[[#This Row],[Days ]]=$W$8),"Weekned","Weekday")</f>
        <v>Weekned</v>
      </c>
      <c r="Y119" s="23" t="str">
        <f>IF(Sales_Table[[#This Row],[Order Status]]="Delivered","Y","N")</f>
        <v>Y</v>
      </c>
      <c r="Z119" s="23" t="str">
        <f>IF(Sales_Table[[#This Row],[Order Status]]="Returned","Yes","N")</f>
        <v>N</v>
      </c>
    </row>
    <row r="120" spans="1:26" ht="15.5" x14ac:dyDescent="0.35">
      <c r="A120" s="20" t="s">
        <v>162</v>
      </c>
      <c r="B120" s="21">
        <v>46378</v>
      </c>
      <c r="C120" s="20" t="s">
        <v>49</v>
      </c>
      <c r="D120" s="20" t="s">
        <v>38</v>
      </c>
      <c r="E120" s="20" t="s">
        <v>14</v>
      </c>
      <c r="F120" s="20" t="s">
        <v>15</v>
      </c>
      <c r="G120" s="20" t="s">
        <v>16</v>
      </c>
      <c r="H120" s="20" t="s">
        <v>17</v>
      </c>
      <c r="I120" s="20">
        <v>12</v>
      </c>
      <c r="J120" s="20">
        <v>35000</v>
      </c>
      <c r="K120" s="22">
        <v>0.08</v>
      </c>
      <c r="L120" s="20" t="str">
        <f>_xlfn.XLOOKUP(Sales_Table[[#This Row],[Product ID]],Products[Product ID],Products[Product Name],"N",0)</f>
        <v>Printer</v>
      </c>
      <c r="M120" s="20" t="str">
        <f>_xlfn.XLOOKUP(Sales_Table[[#This Row],[Employee ID]],Employees[Employee ID],Employees[Employee Name],"N",0)</f>
        <v>Rahul Kumar</v>
      </c>
      <c r="N120" s="20" t="str">
        <f>_xlfn.XLOOKUP(Sales_Table[[#This Row],[Customer ID]],Table22[Customer ID],Table22[Customer Name])</f>
        <v>Smart World</v>
      </c>
      <c r="O120" s="23">
        <f>Sales_Table[[#This Row],[Unit Price]]*Sales_Table[[#This Row],[Quantity]]</f>
        <v>420000</v>
      </c>
      <c r="P120" s="23">
        <f>Sales_Table[[#This Row],[Gross Sales]]*Sales_Table[[#This Row],[Discount %]]</f>
        <v>33600</v>
      </c>
      <c r="Q120" s="23">
        <f>Sales_Table[[#This Row],[Gross Sales]]-Sales_Table[[#This Row],[Discount]]</f>
        <v>386400</v>
      </c>
      <c r="R120" s="23">
        <f>VLOOKUP(Sales_Table[[#This Row],[Product ID]],Products[],5,FALSE)*Sales_Table[[#This Row],[Quantity]]</f>
        <v>324000</v>
      </c>
      <c r="S120" s="23">
        <f>Sales_Table[[#This Row],[Net Sale]]-Sales_Table[[#This Row],[Total Cost]]</f>
        <v>62400</v>
      </c>
      <c r="T120" s="24">
        <f>Sales_Table[[#This Row],[Profit]]/Sales_Table[[#This Row],[Net Sale]]</f>
        <v>0.16149068322981366</v>
      </c>
      <c r="U120" s="23" t="str">
        <f>TEXT(Sales_Table[[#This Row],[Order Date]],"mmmm-YYYY")</f>
        <v>December-2026</v>
      </c>
      <c r="V120" s="23">
        <f>YEAR(Sales_Table[[#This Row],[Month]])</f>
        <v>2026</v>
      </c>
      <c r="W120" s="23" t="str">
        <f>TEXT(Sales_Table[[#This Row],[Order Date]],"DDDD")</f>
        <v>Tuesday</v>
      </c>
      <c r="X120" s="23" t="str">
        <f>IF(OR(Sales_Table[[#This Row],[Days ]]=$W$5,Sales_Table[[#This Row],[Days ]]=$W$8),"Weekned","Weekday")</f>
        <v>Weekday</v>
      </c>
      <c r="Y120" s="23" t="str">
        <f>IF(Sales_Table[[#This Row],[Order Status]]="Delivered","Y","N")</f>
        <v>Y</v>
      </c>
      <c r="Z120" s="23" t="str">
        <f>IF(Sales_Table[[#This Row],[Order Status]]="Returned","Yes","N")</f>
        <v>N</v>
      </c>
    </row>
    <row r="121" spans="1:26" ht="15.5" x14ac:dyDescent="0.35">
      <c r="A121" s="20" t="s">
        <v>163</v>
      </c>
      <c r="B121" s="21">
        <v>46380</v>
      </c>
      <c r="C121" s="20" t="s">
        <v>51</v>
      </c>
      <c r="D121" s="20" t="s">
        <v>42</v>
      </c>
      <c r="E121" s="20" t="s">
        <v>21</v>
      </c>
      <c r="F121" s="20" t="s">
        <v>22</v>
      </c>
      <c r="G121" s="20" t="s">
        <v>16</v>
      </c>
      <c r="H121" s="20" t="s">
        <v>23</v>
      </c>
      <c r="I121" s="20">
        <v>34</v>
      </c>
      <c r="J121" s="20">
        <v>8000</v>
      </c>
      <c r="K121" s="22">
        <v>0.05</v>
      </c>
      <c r="L121" s="20" t="str">
        <f>_xlfn.XLOOKUP(Sales_Table[[#This Row],[Product ID]],Products[Product ID],Products[Product Name],"N",0)</f>
        <v>Headset</v>
      </c>
      <c r="M121" s="20" t="str">
        <f>_xlfn.XLOOKUP(Sales_Table[[#This Row],[Employee ID]],Employees[Employee ID],Employees[Employee Name],"N",0)</f>
        <v>Priya Sharma</v>
      </c>
      <c r="N121" s="20" t="str">
        <f>_xlfn.XLOOKUP(Sales_Table[[#This Row],[Customer ID]],Table22[Customer ID],Table22[Customer Name])</f>
        <v>NextGen Solutions</v>
      </c>
      <c r="O121" s="23">
        <f>Sales_Table[[#This Row],[Unit Price]]*Sales_Table[[#This Row],[Quantity]]</f>
        <v>272000</v>
      </c>
      <c r="P121" s="23">
        <f>Sales_Table[[#This Row],[Gross Sales]]*Sales_Table[[#This Row],[Discount %]]</f>
        <v>13600</v>
      </c>
      <c r="Q121" s="23">
        <f>Sales_Table[[#This Row],[Gross Sales]]-Sales_Table[[#This Row],[Discount]]</f>
        <v>258400</v>
      </c>
      <c r="R121" s="23">
        <f>VLOOKUP(Sales_Table[[#This Row],[Product ID]],Products[],5,FALSE)*Sales_Table[[#This Row],[Quantity]]</f>
        <v>176800</v>
      </c>
      <c r="S121" s="23">
        <f>Sales_Table[[#This Row],[Net Sale]]-Sales_Table[[#This Row],[Total Cost]]</f>
        <v>81600</v>
      </c>
      <c r="T121" s="24">
        <f>Sales_Table[[#This Row],[Profit]]/Sales_Table[[#This Row],[Net Sale]]</f>
        <v>0.31578947368421051</v>
      </c>
      <c r="U121" s="23" t="str">
        <f>TEXT(Sales_Table[[#This Row],[Order Date]],"mmmm-YYYY")</f>
        <v>December-2026</v>
      </c>
      <c r="V121" s="23">
        <f>YEAR(Sales_Table[[#This Row],[Month]])</f>
        <v>2026</v>
      </c>
      <c r="W121" s="23" t="str">
        <f>TEXT(Sales_Table[[#This Row],[Order Date]],"DDDD")</f>
        <v>Thursday</v>
      </c>
      <c r="X121" s="23" t="str">
        <f>IF(OR(Sales_Table[[#This Row],[Days ]]=$W$5,Sales_Table[[#This Row],[Days ]]=$W$8),"Weekned","Weekday")</f>
        <v>Weekday</v>
      </c>
      <c r="Y121" s="23" t="str">
        <f>IF(Sales_Table[[#This Row],[Order Status]]="Delivered","Y","N")</f>
        <v>Y</v>
      </c>
      <c r="Z121" s="23" t="str">
        <f>IF(Sales_Table[[#This Row],[Order Status]]="Returned","Yes","N")</f>
        <v>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B4F25-EC1A-48FD-9C52-17F65B1716ED}">
  <sheetPr>
    <tabColor theme="8"/>
  </sheetPr>
  <dimension ref="A1:F7"/>
  <sheetViews>
    <sheetView workbookViewId="0">
      <selection activeCell="E14" sqref="E14"/>
    </sheetView>
  </sheetViews>
  <sheetFormatPr defaultRowHeight="14.5" x14ac:dyDescent="0.35"/>
  <cols>
    <col min="1" max="1" width="11.54296875" customWidth="1"/>
    <col min="2" max="2" width="14.6328125" customWidth="1"/>
    <col min="3" max="3" width="10.7265625" bestFit="1" customWidth="1"/>
    <col min="4" max="4" width="7.7265625" bestFit="1" customWidth="1"/>
    <col min="5" max="5" width="14.6328125" customWidth="1"/>
    <col min="6" max="6" width="13.1796875" customWidth="1"/>
  </cols>
  <sheetData>
    <row r="1" spans="1:6" x14ac:dyDescent="0.35">
      <c r="A1" t="s">
        <v>3</v>
      </c>
      <c r="B1" t="s">
        <v>164</v>
      </c>
      <c r="C1" t="s">
        <v>165</v>
      </c>
      <c r="D1" t="s">
        <v>166</v>
      </c>
      <c r="E1" t="s">
        <v>167</v>
      </c>
      <c r="F1" t="s">
        <v>168</v>
      </c>
    </row>
    <row r="2" spans="1:6" ht="15.5" x14ac:dyDescent="0.35">
      <c r="A2" s="20" t="s">
        <v>13</v>
      </c>
      <c r="B2" s="20" t="s">
        <v>169</v>
      </c>
      <c r="C2" s="20" t="s">
        <v>170</v>
      </c>
      <c r="D2" s="20" t="s">
        <v>171</v>
      </c>
      <c r="E2" s="20">
        <v>39000</v>
      </c>
      <c r="F2" s="20">
        <v>50000</v>
      </c>
    </row>
    <row r="3" spans="1:6" ht="15.5" x14ac:dyDescent="0.35">
      <c r="A3" s="20" t="s">
        <v>20</v>
      </c>
      <c r="B3" s="20" t="s">
        <v>172</v>
      </c>
      <c r="C3" s="20" t="s">
        <v>173</v>
      </c>
      <c r="D3" s="20" t="s">
        <v>174</v>
      </c>
      <c r="E3" s="20">
        <v>19000</v>
      </c>
      <c r="F3" s="20">
        <v>25000</v>
      </c>
    </row>
    <row r="4" spans="1:6" ht="15.5" x14ac:dyDescent="0.35">
      <c r="A4" s="20" t="s">
        <v>26</v>
      </c>
      <c r="B4" s="20" t="s">
        <v>175</v>
      </c>
      <c r="C4" s="20" t="s">
        <v>176</v>
      </c>
      <c r="D4" s="20" t="s">
        <v>177</v>
      </c>
      <c r="E4" s="20">
        <v>3500</v>
      </c>
      <c r="F4" s="20">
        <v>5000</v>
      </c>
    </row>
    <row r="5" spans="1:6" ht="15.5" x14ac:dyDescent="0.35">
      <c r="A5" s="20" t="s">
        <v>32</v>
      </c>
      <c r="B5" s="20" t="s">
        <v>178</v>
      </c>
      <c r="C5" s="20" t="s">
        <v>176</v>
      </c>
      <c r="D5" s="20" t="s">
        <v>177</v>
      </c>
      <c r="E5" s="20">
        <v>1200</v>
      </c>
      <c r="F5" s="20">
        <v>2000</v>
      </c>
    </row>
    <row r="6" spans="1:6" ht="15.5" x14ac:dyDescent="0.35">
      <c r="A6" s="20" t="s">
        <v>38</v>
      </c>
      <c r="B6" s="20" t="s">
        <v>179</v>
      </c>
      <c r="C6" s="20" t="s">
        <v>180</v>
      </c>
      <c r="D6" s="20" t="s">
        <v>181</v>
      </c>
      <c r="E6" s="20">
        <v>27000</v>
      </c>
      <c r="F6" s="20">
        <v>35000</v>
      </c>
    </row>
    <row r="7" spans="1:6" ht="15.5" x14ac:dyDescent="0.35">
      <c r="A7" s="20" t="s">
        <v>42</v>
      </c>
      <c r="B7" s="20" t="s">
        <v>182</v>
      </c>
      <c r="C7" s="20" t="s">
        <v>176</v>
      </c>
      <c r="D7" s="20" t="s">
        <v>183</v>
      </c>
      <c r="E7" s="20">
        <v>5200</v>
      </c>
      <c r="F7" s="20">
        <v>8000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4CB7-67E2-4FA9-B98A-DF70F355F6D4}">
  <sheetPr>
    <tabColor theme="4"/>
  </sheetPr>
  <dimension ref="A1:D7"/>
  <sheetViews>
    <sheetView workbookViewId="0">
      <selection activeCell="D14" sqref="D14"/>
    </sheetView>
  </sheetViews>
  <sheetFormatPr defaultRowHeight="14.5" x14ac:dyDescent="0.35"/>
  <cols>
    <col min="1" max="1" width="13.1796875" customWidth="1"/>
    <col min="2" max="2" width="16.26953125" customWidth="1"/>
    <col min="3" max="3" width="12.81640625" customWidth="1"/>
    <col min="4" max="4" width="12.90625" customWidth="1"/>
  </cols>
  <sheetData>
    <row r="1" spans="1:4" x14ac:dyDescent="0.35">
      <c r="A1" t="s">
        <v>4</v>
      </c>
      <c r="B1" t="s">
        <v>205</v>
      </c>
      <c r="C1" t="s">
        <v>206</v>
      </c>
      <c r="D1" t="s">
        <v>207</v>
      </c>
    </row>
    <row r="2" spans="1:4" ht="15.5" x14ac:dyDescent="0.35">
      <c r="A2" s="20" t="s">
        <v>14</v>
      </c>
      <c r="B2" s="20" t="s">
        <v>208</v>
      </c>
      <c r="C2" s="20" t="s">
        <v>209</v>
      </c>
      <c r="D2" s="21">
        <v>45458</v>
      </c>
    </row>
    <row r="3" spans="1:4" ht="15.5" x14ac:dyDescent="0.35">
      <c r="A3" s="20" t="s">
        <v>21</v>
      </c>
      <c r="B3" s="20" t="s">
        <v>210</v>
      </c>
      <c r="C3" s="20" t="s">
        <v>209</v>
      </c>
      <c r="D3" s="21">
        <v>45514</v>
      </c>
    </row>
    <row r="4" spans="1:4" ht="15.5" x14ac:dyDescent="0.35">
      <c r="A4" s="20" t="s">
        <v>27</v>
      </c>
      <c r="B4" s="20" t="s">
        <v>211</v>
      </c>
      <c r="C4" s="20" t="s">
        <v>209</v>
      </c>
      <c r="D4" s="21">
        <v>45677</v>
      </c>
    </row>
    <row r="5" spans="1:4" ht="15.5" x14ac:dyDescent="0.35">
      <c r="A5" s="20" t="s">
        <v>33</v>
      </c>
      <c r="B5" s="20" t="s">
        <v>212</v>
      </c>
      <c r="C5" s="20" t="s">
        <v>209</v>
      </c>
      <c r="D5" s="21">
        <v>45721</v>
      </c>
    </row>
    <row r="6" spans="1:4" ht="15.5" x14ac:dyDescent="0.35">
      <c r="A6" s="20" t="s">
        <v>39</v>
      </c>
      <c r="B6" s="20" t="s">
        <v>213</v>
      </c>
      <c r="C6" s="20" t="s">
        <v>209</v>
      </c>
      <c r="D6" s="21">
        <v>45789</v>
      </c>
    </row>
    <row r="7" spans="1:4" ht="15.5" x14ac:dyDescent="0.35">
      <c r="A7" s="20" t="s">
        <v>43</v>
      </c>
      <c r="B7" s="20" t="s">
        <v>214</v>
      </c>
      <c r="C7" s="20" t="s">
        <v>209</v>
      </c>
      <c r="D7" s="21">
        <v>45856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4C1E-E449-426A-B45A-A77802046FD5}">
  <sheetPr>
    <tabColor theme="4"/>
  </sheetPr>
  <dimension ref="A1:E11"/>
  <sheetViews>
    <sheetView workbookViewId="0">
      <selection activeCell="A2" sqref="A2"/>
    </sheetView>
  </sheetViews>
  <sheetFormatPr defaultRowHeight="14.5" x14ac:dyDescent="0.35"/>
  <cols>
    <col min="1" max="1" width="13.1796875" customWidth="1"/>
    <col min="2" max="2" width="16.6328125" bestFit="1" customWidth="1"/>
    <col min="3" max="3" width="15.26953125" customWidth="1"/>
    <col min="4" max="4" width="9.54296875" bestFit="1" customWidth="1"/>
    <col min="5" max="5" width="11.08984375" bestFit="1" customWidth="1"/>
  </cols>
  <sheetData>
    <row r="1" spans="1:5" x14ac:dyDescent="0.35">
      <c r="A1" t="s">
        <v>2</v>
      </c>
      <c r="B1" t="s">
        <v>184</v>
      </c>
      <c r="C1" t="s">
        <v>185</v>
      </c>
      <c r="D1" t="s">
        <v>186</v>
      </c>
      <c r="E1" t="s">
        <v>187</v>
      </c>
    </row>
    <row r="2" spans="1:5" ht="15.5" x14ac:dyDescent="0.35">
      <c r="A2" s="20" t="s">
        <v>12</v>
      </c>
      <c r="B2" s="20" t="s">
        <v>188</v>
      </c>
      <c r="C2" s="20" t="s">
        <v>189</v>
      </c>
      <c r="D2" s="20" t="s">
        <v>15</v>
      </c>
      <c r="E2" s="20" t="s">
        <v>190</v>
      </c>
    </row>
    <row r="3" spans="1:5" ht="15.5" x14ac:dyDescent="0.35">
      <c r="A3" s="20" t="s">
        <v>19</v>
      </c>
      <c r="B3" s="20" t="s">
        <v>191</v>
      </c>
      <c r="C3" s="20" t="s">
        <v>192</v>
      </c>
      <c r="D3" s="20" t="s">
        <v>22</v>
      </c>
      <c r="E3" s="20" t="s">
        <v>193</v>
      </c>
    </row>
    <row r="4" spans="1:5" ht="15.5" x14ac:dyDescent="0.35">
      <c r="A4" s="20" t="s">
        <v>25</v>
      </c>
      <c r="B4" s="20" t="s">
        <v>194</v>
      </c>
      <c r="C4" s="20" t="s">
        <v>189</v>
      </c>
      <c r="D4" s="20" t="s">
        <v>28</v>
      </c>
      <c r="E4" s="20" t="s">
        <v>195</v>
      </c>
    </row>
    <row r="5" spans="1:5" ht="15.5" x14ac:dyDescent="0.35">
      <c r="A5" s="20" t="s">
        <v>31</v>
      </c>
      <c r="B5" s="20" t="s">
        <v>196</v>
      </c>
      <c r="C5" s="20" t="s">
        <v>192</v>
      </c>
      <c r="D5" s="20" t="s">
        <v>34</v>
      </c>
      <c r="E5" s="20" t="s">
        <v>197</v>
      </c>
    </row>
    <row r="6" spans="1:5" ht="15.5" x14ac:dyDescent="0.35">
      <c r="A6" s="20" t="s">
        <v>37</v>
      </c>
      <c r="B6" s="20" t="s">
        <v>198</v>
      </c>
      <c r="C6" s="20" t="s">
        <v>189</v>
      </c>
      <c r="D6" s="20" t="s">
        <v>15</v>
      </c>
      <c r="E6" s="20" t="s">
        <v>190</v>
      </c>
    </row>
    <row r="7" spans="1:5" ht="15.5" x14ac:dyDescent="0.35">
      <c r="A7" s="20" t="s">
        <v>41</v>
      </c>
      <c r="B7" s="20" t="s">
        <v>199</v>
      </c>
      <c r="C7" s="20" t="s">
        <v>200</v>
      </c>
      <c r="D7" s="20" t="s">
        <v>22</v>
      </c>
      <c r="E7" s="20" t="s">
        <v>193</v>
      </c>
    </row>
    <row r="8" spans="1:5" ht="15.5" x14ac:dyDescent="0.35">
      <c r="A8" s="20" t="s">
        <v>45</v>
      </c>
      <c r="B8" s="20" t="s">
        <v>201</v>
      </c>
      <c r="C8" s="20" t="s">
        <v>189</v>
      </c>
      <c r="D8" s="20" t="s">
        <v>28</v>
      </c>
      <c r="E8" s="20" t="s">
        <v>195</v>
      </c>
    </row>
    <row r="9" spans="1:5" ht="15.5" x14ac:dyDescent="0.35">
      <c r="A9" s="20" t="s">
        <v>47</v>
      </c>
      <c r="B9" s="20" t="s">
        <v>202</v>
      </c>
      <c r="C9" s="20" t="s">
        <v>192</v>
      </c>
      <c r="D9" s="20" t="s">
        <v>34</v>
      </c>
      <c r="E9" s="20" t="s">
        <v>197</v>
      </c>
    </row>
    <row r="10" spans="1:5" ht="15.5" x14ac:dyDescent="0.35">
      <c r="A10" s="20" t="s">
        <v>49</v>
      </c>
      <c r="B10" s="20" t="s">
        <v>203</v>
      </c>
      <c r="C10" s="20" t="s">
        <v>200</v>
      </c>
      <c r="D10" s="20" t="s">
        <v>15</v>
      </c>
      <c r="E10" s="20" t="s">
        <v>190</v>
      </c>
    </row>
    <row r="11" spans="1:5" ht="15.5" x14ac:dyDescent="0.35">
      <c r="A11" s="20" t="s">
        <v>51</v>
      </c>
      <c r="B11" s="20" t="s">
        <v>204</v>
      </c>
      <c r="C11" s="20" t="s">
        <v>189</v>
      </c>
      <c r="D11" s="20" t="s">
        <v>22</v>
      </c>
      <c r="E11" s="20" t="s">
        <v>193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9330-6EC8-4113-AC7B-F0C4F0338635}">
  <sheetPr>
    <tabColor rgb="FFFF0000"/>
  </sheetPr>
  <dimension ref="A1:C37"/>
  <sheetViews>
    <sheetView workbookViewId="0">
      <selection activeCell="H14" sqref="H14"/>
    </sheetView>
  </sheetViews>
  <sheetFormatPr defaultRowHeight="14.5" x14ac:dyDescent="0.35"/>
  <cols>
    <col min="3" max="3" width="12.81640625" customWidth="1"/>
  </cols>
  <sheetData>
    <row r="1" spans="1:3" x14ac:dyDescent="0.35">
      <c r="A1" t="s">
        <v>221</v>
      </c>
      <c r="B1" t="s">
        <v>5</v>
      </c>
      <c r="C1" t="s">
        <v>246</v>
      </c>
    </row>
    <row r="2" spans="1:3" ht="15.5" x14ac:dyDescent="0.35">
      <c r="A2" s="26">
        <v>46023</v>
      </c>
      <c r="B2" s="20" t="s">
        <v>15</v>
      </c>
      <c r="C2" s="20">
        <v>500000</v>
      </c>
    </row>
    <row r="3" spans="1:3" ht="15.5" x14ac:dyDescent="0.35">
      <c r="A3" s="26">
        <v>46023</v>
      </c>
      <c r="B3" s="20" t="s">
        <v>22</v>
      </c>
      <c r="C3" s="20">
        <v>500000</v>
      </c>
    </row>
    <row r="4" spans="1:3" ht="15.5" x14ac:dyDescent="0.35">
      <c r="A4" s="26">
        <v>46023</v>
      </c>
      <c r="B4" s="20" t="s">
        <v>28</v>
      </c>
      <c r="C4" s="20">
        <v>450000</v>
      </c>
    </row>
    <row r="5" spans="1:3" ht="15.5" x14ac:dyDescent="0.35">
      <c r="A5" s="26">
        <v>46023</v>
      </c>
      <c r="B5" s="20" t="s">
        <v>34</v>
      </c>
      <c r="C5" s="20">
        <v>450000</v>
      </c>
    </row>
    <row r="6" spans="1:3" ht="15.5" x14ac:dyDescent="0.35">
      <c r="A6" s="26">
        <v>46054</v>
      </c>
      <c r="B6" s="20" t="s">
        <v>15</v>
      </c>
      <c r="C6" s="20">
        <v>500000</v>
      </c>
    </row>
    <row r="7" spans="1:3" ht="15.5" x14ac:dyDescent="0.35">
      <c r="A7" s="26">
        <v>46054</v>
      </c>
      <c r="B7" s="20" t="s">
        <v>22</v>
      </c>
      <c r="C7" s="20">
        <v>500000</v>
      </c>
    </row>
    <row r="8" spans="1:3" ht="15.5" x14ac:dyDescent="0.35">
      <c r="A8" s="26">
        <v>46054</v>
      </c>
      <c r="B8" s="20" t="s">
        <v>28</v>
      </c>
      <c r="C8" s="20">
        <v>450000</v>
      </c>
    </row>
    <row r="9" spans="1:3" ht="15.5" x14ac:dyDescent="0.35">
      <c r="A9" s="26">
        <v>46054</v>
      </c>
      <c r="B9" s="20" t="s">
        <v>34</v>
      </c>
      <c r="C9" s="20">
        <v>450000</v>
      </c>
    </row>
    <row r="10" spans="1:3" ht="15.5" x14ac:dyDescent="0.35">
      <c r="A10" s="26">
        <v>46082</v>
      </c>
      <c r="B10" s="20" t="s">
        <v>15</v>
      </c>
      <c r="C10" s="20">
        <v>550000</v>
      </c>
    </row>
    <row r="11" spans="1:3" ht="15.5" x14ac:dyDescent="0.35">
      <c r="A11" s="26">
        <v>46082</v>
      </c>
      <c r="B11" s="20" t="s">
        <v>22</v>
      </c>
      <c r="C11" s="20">
        <v>550000</v>
      </c>
    </row>
    <row r="12" spans="1:3" ht="15.5" x14ac:dyDescent="0.35">
      <c r="A12" s="26">
        <v>46082</v>
      </c>
      <c r="B12" s="20" t="s">
        <v>28</v>
      </c>
      <c r="C12" s="20">
        <v>500000</v>
      </c>
    </row>
    <row r="13" spans="1:3" ht="15.5" x14ac:dyDescent="0.35">
      <c r="A13" s="26">
        <v>46082</v>
      </c>
      <c r="B13" s="20" t="s">
        <v>34</v>
      </c>
      <c r="C13" s="20">
        <v>500000</v>
      </c>
    </row>
    <row r="14" spans="1:3" ht="15.5" x14ac:dyDescent="0.35">
      <c r="A14" s="26">
        <v>46113</v>
      </c>
      <c r="B14" s="20" t="s">
        <v>15</v>
      </c>
      <c r="C14" s="20">
        <v>500000</v>
      </c>
    </row>
    <row r="15" spans="1:3" ht="15.5" x14ac:dyDescent="0.35">
      <c r="A15" s="26">
        <v>46113</v>
      </c>
      <c r="B15" s="20" t="s">
        <v>22</v>
      </c>
      <c r="C15" s="20">
        <v>500000</v>
      </c>
    </row>
    <row r="16" spans="1:3" ht="15.5" x14ac:dyDescent="0.35">
      <c r="A16" s="26">
        <v>46113</v>
      </c>
      <c r="B16" s="20" t="s">
        <v>28</v>
      </c>
      <c r="C16" s="20">
        <v>450000</v>
      </c>
    </row>
    <row r="17" spans="1:3" ht="15.5" x14ac:dyDescent="0.35">
      <c r="A17" s="26">
        <v>46113</v>
      </c>
      <c r="B17" s="20" t="s">
        <v>34</v>
      </c>
      <c r="C17" s="20">
        <v>450000</v>
      </c>
    </row>
    <row r="18" spans="1:3" ht="15.5" x14ac:dyDescent="0.35">
      <c r="A18" s="26">
        <v>46143</v>
      </c>
      <c r="B18" s="20" t="s">
        <v>15</v>
      </c>
      <c r="C18" s="20">
        <v>550000</v>
      </c>
    </row>
    <row r="19" spans="1:3" ht="15.5" x14ac:dyDescent="0.35">
      <c r="A19" s="26">
        <v>46143</v>
      </c>
      <c r="B19" s="20" t="s">
        <v>22</v>
      </c>
      <c r="C19" s="20">
        <v>550000</v>
      </c>
    </row>
    <row r="20" spans="1:3" ht="15.5" x14ac:dyDescent="0.35">
      <c r="A20" s="26">
        <v>46143</v>
      </c>
      <c r="B20" s="20" t="s">
        <v>28</v>
      </c>
      <c r="C20" s="20">
        <v>500000</v>
      </c>
    </row>
    <row r="21" spans="1:3" ht="15.5" x14ac:dyDescent="0.35">
      <c r="A21" s="26">
        <v>46143</v>
      </c>
      <c r="B21" s="20" t="s">
        <v>34</v>
      </c>
      <c r="C21" s="20">
        <v>500000</v>
      </c>
    </row>
    <row r="22" spans="1:3" ht="15.5" x14ac:dyDescent="0.35">
      <c r="A22" s="26">
        <v>46174</v>
      </c>
      <c r="B22" s="20" t="s">
        <v>15</v>
      </c>
      <c r="C22" s="20">
        <v>600000</v>
      </c>
    </row>
    <row r="23" spans="1:3" ht="15.5" x14ac:dyDescent="0.35">
      <c r="A23" s="26">
        <v>46174</v>
      </c>
      <c r="B23" s="20" t="s">
        <v>22</v>
      </c>
      <c r="C23" s="20">
        <v>600000</v>
      </c>
    </row>
    <row r="24" spans="1:3" ht="15.5" x14ac:dyDescent="0.35">
      <c r="A24" s="26">
        <v>46174</v>
      </c>
      <c r="B24" s="20" t="s">
        <v>28</v>
      </c>
      <c r="C24" s="20">
        <v>550000</v>
      </c>
    </row>
    <row r="25" spans="1:3" ht="15.5" x14ac:dyDescent="0.35">
      <c r="A25" s="26">
        <v>46174</v>
      </c>
      <c r="B25" s="20" t="s">
        <v>34</v>
      </c>
      <c r="C25" s="20">
        <v>550000</v>
      </c>
    </row>
    <row r="26" spans="1:3" ht="15.5" x14ac:dyDescent="0.35">
      <c r="A26" s="26">
        <v>46204</v>
      </c>
      <c r="B26" s="20" t="s">
        <v>15</v>
      </c>
      <c r="C26" s="20">
        <v>600000</v>
      </c>
    </row>
    <row r="27" spans="1:3" ht="15.5" x14ac:dyDescent="0.35">
      <c r="A27" s="26">
        <v>46204</v>
      </c>
      <c r="B27" s="20" t="s">
        <v>22</v>
      </c>
      <c r="C27" s="20">
        <v>600000</v>
      </c>
    </row>
    <row r="28" spans="1:3" ht="15.5" x14ac:dyDescent="0.35">
      <c r="A28" s="26">
        <v>46204</v>
      </c>
      <c r="B28" s="20" t="s">
        <v>28</v>
      </c>
      <c r="C28" s="20">
        <v>550000</v>
      </c>
    </row>
    <row r="29" spans="1:3" ht="15.5" x14ac:dyDescent="0.35">
      <c r="A29" s="26">
        <v>46204</v>
      </c>
      <c r="B29" s="20" t="s">
        <v>34</v>
      </c>
      <c r="C29" s="20">
        <v>550000</v>
      </c>
    </row>
    <row r="30" spans="1:3" ht="15.5" x14ac:dyDescent="0.35">
      <c r="A30" s="26">
        <v>46235</v>
      </c>
      <c r="B30" s="20" t="s">
        <v>15</v>
      </c>
      <c r="C30" s="20">
        <v>650000</v>
      </c>
    </row>
    <row r="31" spans="1:3" ht="15.5" x14ac:dyDescent="0.35">
      <c r="A31" s="26">
        <v>46235</v>
      </c>
      <c r="B31" s="20" t="s">
        <v>22</v>
      </c>
      <c r="C31" s="20">
        <v>650000</v>
      </c>
    </row>
    <row r="32" spans="1:3" ht="15.5" x14ac:dyDescent="0.35">
      <c r="A32" s="26">
        <v>46235</v>
      </c>
      <c r="B32" s="20" t="s">
        <v>28</v>
      </c>
      <c r="C32" s="20">
        <v>600000</v>
      </c>
    </row>
    <row r="33" spans="1:3" ht="15.5" x14ac:dyDescent="0.35">
      <c r="A33" s="26">
        <v>46235</v>
      </c>
      <c r="B33" s="20" t="s">
        <v>34</v>
      </c>
      <c r="C33" s="20">
        <v>600000</v>
      </c>
    </row>
    <row r="34" spans="1:3" ht="15.5" x14ac:dyDescent="0.35">
      <c r="A34" s="26">
        <v>46266</v>
      </c>
      <c r="B34" s="20" t="s">
        <v>15</v>
      </c>
      <c r="C34" s="20">
        <v>700000</v>
      </c>
    </row>
    <row r="35" spans="1:3" ht="15.5" x14ac:dyDescent="0.35">
      <c r="A35" s="26">
        <v>46266</v>
      </c>
      <c r="B35" s="20" t="s">
        <v>22</v>
      </c>
      <c r="C35" s="20">
        <v>700000</v>
      </c>
    </row>
    <row r="36" spans="1:3" ht="15.5" x14ac:dyDescent="0.35">
      <c r="A36" s="26">
        <v>46266</v>
      </c>
      <c r="B36" s="20" t="s">
        <v>28</v>
      </c>
      <c r="C36" s="20">
        <v>650000</v>
      </c>
    </row>
    <row r="37" spans="1:3" ht="15.5" x14ac:dyDescent="0.35">
      <c r="A37" s="26">
        <v>46266</v>
      </c>
      <c r="B37" s="20" t="s">
        <v>34</v>
      </c>
      <c r="C37" s="20">
        <v>650000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A84A-74E5-4938-99CC-3C762C2840A4}">
  <sheetPr>
    <tabColor rgb="FFFF0000"/>
  </sheetPr>
  <dimension ref="A1:E7"/>
  <sheetViews>
    <sheetView workbookViewId="0">
      <selection activeCell="G14" sqref="G14"/>
    </sheetView>
  </sheetViews>
  <sheetFormatPr defaultRowHeight="14.5" x14ac:dyDescent="0.35"/>
  <cols>
    <col min="1" max="1" width="10.6328125" customWidth="1"/>
    <col min="2" max="2" width="9.6328125" customWidth="1"/>
    <col min="3" max="3" width="12.7265625" customWidth="1"/>
    <col min="4" max="4" width="11.6328125" customWidth="1"/>
    <col min="5" max="5" width="21.08984375" bestFit="1" customWidth="1"/>
  </cols>
  <sheetData>
    <row r="1" spans="1:5" x14ac:dyDescent="0.35">
      <c r="A1" t="s">
        <v>247</v>
      </c>
      <c r="B1" t="s">
        <v>0</v>
      </c>
      <c r="C1" t="s">
        <v>248</v>
      </c>
      <c r="D1" t="s">
        <v>249</v>
      </c>
      <c r="E1" t="s">
        <v>250</v>
      </c>
    </row>
    <row r="2" spans="1:5" ht="15.5" x14ac:dyDescent="0.35">
      <c r="A2" s="20" t="s">
        <v>251</v>
      </c>
      <c r="B2" s="20" t="s">
        <v>46</v>
      </c>
      <c r="C2" s="21">
        <v>46078</v>
      </c>
      <c r="D2" s="20">
        <v>2</v>
      </c>
      <c r="E2" s="20" t="s">
        <v>252</v>
      </c>
    </row>
    <row r="3" spans="1:5" ht="15.5" x14ac:dyDescent="0.35">
      <c r="A3" s="20" t="s">
        <v>253</v>
      </c>
      <c r="B3" s="20" t="s">
        <v>56</v>
      </c>
      <c r="C3" s="21">
        <v>46093</v>
      </c>
      <c r="D3" s="20">
        <v>3</v>
      </c>
      <c r="E3" s="20" t="s">
        <v>254</v>
      </c>
    </row>
    <row r="4" spans="1:5" ht="15.5" x14ac:dyDescent="0.35">
      <c r="A4" s="20" t="s">
        <v>255</v>
      </c>
      <c r="B4" s="20" t="s">
        <v>64</v>
      </c>
      <c r="C4" s="21">
        <v>46101</v>
      </c>
      <c r="D4" s="20">
        <v>5</v>
      </c>
      <c r="E4" s="20" t="s">
        <v>256</v>
      </c>
    </row>
    <row r="5" spans="1:5" ht="15.5" x14ac:dyDescent="0.35">
      <c r="A5" s="20" t="s">
        <v>257</v>
      </c>
      <c r="B5" s="20" t="s">
        <v>74</v>
      </c>
      <c r="C5" s="21">
        <v>46130</v>
      </c>
      <c r="D5" s="20">
        <v>1</v>
      </c>
      <c r="E5" s="20" t="s">
        <v>252</v>
      </c>
    </row>
    <row r="6" spans="1:5" ht="15.5" x14ac:dyDescent="0.35">
      <c r="A6" s="20" t="s">
        <v>258</v>
      </c>
      <c r="B6" s="20" t="s">
        <v>83</v>
      </c>
      <c r="C6" s="21">
        <v>46162</v>
      </c>
      <c r="D6" s="20">
        <v>4</v>
      </c>
      <c r="E6" s="20" t="s">
        <v>259</v>
      </c>
    </row>
    <row r="7" spans="1:5" ht="15.5" x14ac:dyDescent="0.35">
      <c r="A7" s="20" t="s">
        <v>260</v>
      </c>
      <c r="B7" s="20" t="s">
        <v>98</v>
      </c>
      <c r="C7" s="21">
        <v>46223</v>
      </c>
      <c r="D7" s="20">
        <v>2</v>
      </c>
      <c r="E7" s="20" t="s">
        <v>254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DECB-3392-4F04-A841-3EDDEDA43E83}">
  <sheetPr>
    <tabColor theme="1"/>
  </sheetPr>
  <dimension ref="A2:AQ129"/>
  <sheetViews>
    <sheetView topLeftCell="R1" workbookViewId="0">
      <selection activeCell="AB9" sqref="AB9"/>
    </sheetView>
  </sheetViews>
  <sheetFormatPr defaultRowHeight="14.5" x14ac:dyDescent="0.35"/>
  <cols>
    <col min="1" max="2" width="17.08984375" customWidth="1"/>
    <col min="4" max="4" width="10.453125" bestFit="1" customWidth="1"/>
    <col min="5" max="5" width="10.90625" bestFit="1" customWidth="1"/>
    <col min="6" max="6" width="7.6328125" bestFit="1" customWidth="1"/>
    <col min="7" max="7" width="9.54296875" bestFit="1" customWidth="1"/>
    <col min="9" max="9" width="14.08984375" bestFit="1" customWidth="1"/>
    <col min="10" max="10" width="17.1796875" bestFit="1" customWidth="1"/>
    <col min="11" max="11" width="13.1796875" style="18" bestFit="1" customWidth="1"/>
    <col min="12" max="12" width="9.90625" style="18" bestFit="1" customWidth="1"/>
    <col min="13" max="13" width="16.6328125" style="18" bestFit="1" customWidth="1"/>
    <col min="15" max="15" width="15.7265625" bestFit="1" customWidth="1"/>
    <col min="16" max="16" width="18.90625" bestFit="1" customWidth="1"/>
    <col min="17" max="17" width="13.1796875" style="18" bestFit="1" customWidth="1"/>
    <col min="18" max="18" width="9.90625" bestFit="1" customWidth="1"/>
    <col min="19" max="19" width="10.90625" bestFit="1" customWidth="1"/>
    <col min="21" max="21" width="8.36328125" bestFit="1" customWidth="1"/>
    <col min="22" max="22" width="10.90625" bestFit="1" customWidth="1"/>
    <col min="23" max="23" width="8.36328125" bestFit="1" customWidth="1"/>
    <col min="24" max="24" width="10.26953125" bestFit="1" customWidth="1"/>
    <col min="25" max="25" width="8.6328125" bestFit="1" customWidth="1"/>
    <col min="26" max="26" width="11.36328125" style="9" bestFit="1" customWidth="1"/>
    <col min="31" max="31" width="15.6328125" style="18" bestFit="1" customWidth="1"/>
    <col min="32" max="32" width="12.7265625" style="18" bestFit="1" customWidth="1"/>
    <col min="33" max="33" width="18.36328125" style="18" bestFit="1" customWidth="1"/>
    <col min="34" max="34" width="6.54296875" customWidth="1"/>
    <col min="35" max="35" width="18.6328125" bestFit="1" customWidth="1"/>
    <col min="36" max="36" width="14.08984375" style="18" customWidth="1"/>
    <col min="40" max="40" width="39.81640625" bestFit="1" customWidth="1"/>
    <col min="43" max="43" width="6.08984375" bestFit="1" customWidth="1"/>
    <col min="45" max="45" width="9.54296875" bestFit="1" customWidth="1"/>
  </cols>
  <sheetData>
    <row r="2" spans="1:43" ht="19" x14ac:dyDescent="0.4">
      <c r="A2" s="74" t="s">
        <v>289</v>
      </c>
      <c r="B2" s="74"/>
      <c r="D2" s="74" t="s">
        <v>288</v>
      </c>
      <c r="E2" s="74"/>
      <c r="F2" s="74"/>
      <c r="G2" s="74"/>
      <c r="I2" s="78" t="s">
        <v>287</v>
      </c>
      <c r="J2" s="78"/>
      <c r="K2" s="78"/>
      <c r="L2" s="78"/>
      <c r="M2" s="78"/>
      <c r="O2" s="80" t="s">
        <v>290</v>
      </c>
      <c r="P2" s="80"/>
      <c r="Q2" s="80"/>
      <c r="R2" s="80"/>
      <c r="S2" s="80"/>
      <c r="U2" s="79" t="s">
        <v>291</v>
      </c>
      <c r="V2" s="79"/>
      <c r="W2" s="79"/>
      <c r="X2" s="79"/>
      <c r="Y2" s="79"/>
      <c r="Z2" s="79"/>
      <c r="AC2" s="81" t="s">
        <v>292</v>
      </c>
      <c r="AD2" s="81"/>
      <c r="AE2" s="81"/>
      <c r="AF2" s="81"/>
      <c r="AG2" s="81"/>
      <c r="AI2" s="81" t="s">
        <v>293</v>
      </c>
      <c r="AJ2" s="81"/>
    </row>
    <row r="3" spans="1:43" ht="16" x14ac:dyDescent="0.4">
      <c r="A3" s="6" t="s">
        <v>227</v>
      </c>
      <c r="B3" s="6" t="s">
        <v>228</v>
      </c>
      <c r="D3" s="5" t="s">
        <v>5</v>
      </c>
      <c r="E3" s="5" t="s">
        <v>237</v>
      </c>
      <c r="F3" s="5" t="s">
        <v>219</v>
      </c>
      <c r="G3" s="5" t="s">
        <v>238</v>
      </c>
      <c r="I3" s="4" t="s">
        <v>3</v>
      </c>
      <c r="J3" s="4" t="s">
        <v>164</v>
      </c>
      <c r="K3" s="4" t="s">
        <v>237</v>
      </c>
      <c r="L3" s="4" t="s">
        <v>219</v>
      </c>
      <c r="M3" s="4" t="s">
        <v>239</v>
      </c>
      <c r="O3" s="7" t="s">
        <v>4</v>
      </c>
      <c r="P3" s="7" t="s">
        <v>205</v>
      </c>
      <c r="Q3" s="4" t="s">
        <v>237</v>
      </c>
      <c r="R3" s="7" t="s">
        <v>219</v>
      </c>
      <c r="S3" s="7" t="s">
        <v>240</v>
      </c>
      <c r="U3" t="s">
        <v>221</v>
      </c>
      <c r="V3" t="s">
        <v>237</v>
      </c>
      <c r="W3" t="s">
        <v>219</v>
      </c>
      <c r="X3" t="s">
        <v>8</v>
      </c>
      <c r="Y3" t="s">
        <v>240</v>
      </c>
      <c r="Z3" t="s">
        <v>241</v>
      </c>
      <c r="AC3" s="7" t="s">
        <v>5</v>
      </c>
      <c r="AD3" s="8" t="s">
        <v>242</v>
      </c>
      <c r="AE3" s="7" t="s">
        <v>243</v>
      </c>
      <c r="AF3" s="7" t="s">
        <v>244</v>
      </c>
      <c r="AG3" s="7" t="s">
        <v>245</v>
      </c>
      <c r="AH3" s="9"/>
      <c r="AI3" s="7" t="s">
        <v>261</v>
      </c>
      <c r="AJ3" s="7" t="s">
        <v>228</v>
      </c>
      <c r="AK3" s="9"/>
      <c r="AL3" s="9"/>
      <c r="AM3" s="13" t="s">
        <v>277</v>
      </c>
      <c r="AN3" s="13" t="s">
        <v>266</v>
      </c>
      <c r="AO3" s="75" t="s">
        <v>267</v>
      </c>
      <c r="AP3" s="76"/>
      <c r="AQ3" s="77"/>
    </row>
    <row r="4" spans="1:43" ht="15.5" x14ac:dyDescent="0.35">
      <c r="A4" s="30" t="s">
        <v>229</v>
      </c>
      <c r="B4" s="30">
        <f>COUNTA(Sales_Table[Order ID])</f>
        <v>120</v>
      </c>
      <c r="D4" s="30" t="s">
        <v>15</v>
      </c>
      <c r="E4" s="31">
        <f>SUMIF(Sales_Table[Region],'Sales Raw Data'!F104,Sales_Table[Net Sale])</f>
        <v>7549900</v>
      </c>
      <c r="F4" s="31">
        <f>SUMIF(Sales_Table[Region],'Sales Raw Data'!F62,Sales_Table[Profit])</f>
        <v>1222400</v>
      </c>
      <c r="G4" s="34">
        <f>IFERROR(F4/E4,0)</f>
        <v>0.16190942926396376</v>
      </c>
      <c r="I4" s="30" t="s">
        <v>13</v>
      </c>
      <c r="J4" s="30" t="str">
        <f>VLOOKUP(I4,Products[],2,FALSE)</f>
        <v>Laptop</v>
      </c>
      <c r="K4" s="60">
        <f>SUMIFS(Sales_Table[Net Sale],Sales_Table[Product Name],J4,Sales_Table[Order Status],Sales_Table[[#This Row],[Order Status]])</f>
        <v>5139000</v>
      </c>
      <c r="L4" s="60">
        <f>SUMIFS(Sales_Table[Profit],Sales_Table[Sale Eligilblity],Sales_Table[[#This Row],[Sale Eligilblity]],Sales_Table[Product ID],Sales_Table[[#This Row],[Product ID]])</f>
        <v>770200</v>
      </c>
      <c r="M4" s="61">
        <f>SUMIFS(Sales_Table[Quantity],Sales_Table[Product ID],Sales_Table[[#This Row],[Product ID]],Sales_Table[Sale Eligilblity],Sales_Table[[#This Row],[Sale Eligilblity]])</f>
        <v>632</v>
      </c>
      <c r="O4" s="30" t="s">
        <v>14</v>
      </c>
      <c r="P4" s="30" t="str">
        <f>VLOOKUP(O4,Employees[],MATCH(Employees[[#Headers],[Employee Name]],Employees[#Headers],0),FALSE)</f>
        <v>Rahul Kumar</v>
      </c>
      <c r="Q4" s="59">
        <f>SUMIFS(Sales_Table[Net Sale],Sales_Table[Employee ID],Analysis!O4,Sales_Table[Sale Eligilblity],Sales_Table[[#This Row],[Sale Eligilblity]])</f>
        <v>5858500</v>
      </c>
      <c r="R4" s="60">
        <f>SUMIFS(Sales_Table[Profit],Sales_Table[Employee ID],Analysis!O4,Sales_Table[Sale Eligilblity],Sales_Table[[#This Row],[Sale Eligilblity]])</f>
        <v>857500</v>
      </c>
      <c r="S4" s="61">
        <f>COUNTIFS(Sales_Table[Employee ID],Analysis!O4,Sales_Table[Sale Eligilblity],Sales_Table[[#This Row],[Sale Eligilblity]])</f>
        <v>20</v>
      </c>
      <c r="U4" s="26" t="str">
        <f t="shared" ref="U4:U15" si="0">AE12</f>
        <v>Jan-26</v>
      </c>
      <c r="V4" s="35">
        <f t="shared" ref="V4:V15" si="1">AF12</f>
        <v>1726400</v>
      </c>
      <c r="W4" s="36">
        <f t="shared" ref="W4:W15" si="2">AG12</f>
        <v>342000</v>
      </c>
      <c r="X4" s="20">
        <f t="shared" ref="X4:X15" si="3">AH12</f>
        <v>157</v>
      </c>
      <c r="Y4" s="20">
        <f t="shared" ref="Y4:Y15" si="4">AI12</f>
        <v>12</v>
      </c>
      <c r="Z4" s="24">
        <f t="shared" ref="Z4:Z15" si="5">AJ12</f>
        <v>0</v>
      </c>
      <c r="AC4" s="30" t="s">
        <v>15</v>
      </c>
      <c r="AD4" s="37">
        <f>SUMIF(Targets!B2:B37,Analysis!AC4,Targets!C2:C37)</f>
        <v>5150000</v>
      </c>
      <c r="AE4" s="59">
        <f>SUMIFS(Sales_Table[Net Sale],Sales_Table[Sale Eligilblity],Sales_Table[[#This Row],[Sale Eligilblity]],Sales_Table[Region],Analysis!AC4)</f>
        <v>7549900</v>
      </c>
      <c r="AF4" s="59">
        <f>AE4-AD4</f>
        <v>2399900</v>
      </c>
      <c r="AG4" s="64">
        <f>AF4/AD4</f>
        <v>0.46600000000000003</v>
      </c>
      <c r="AH4" s="9"/>
      <c r="AI4" s="30" t="s">
        <v>262</v>
      </c>
      <c r="AJ4" s="61">
        <f>COUNTIF(Sales_Table[Order Status],"Returned")</f>
        <v>2</v>
      </c>
      <c r="AL4" s="9"/>
      <c r="AM4" s="12"/>
      <c r="AN4" s="12"/>
      <c r="AO4" s="68" t="str">
        <f>_xlfn.XLOOKUP(MAX(E4:E7),E4:E7,D4:D7)</f>
        <v>Hyderabad</v>
      </c>
      <c r="AP4" s="70"/>
      <c r="AQ4" s="69"/>
    </row>
    <row r="5" spans="1:43" ht="15.5" x14ac:dyDescent="0.35">
      <c r="A5" s="30" t="s">
        <v>230</v>
      </c>
      <c r="B5" s="30">
        <f>COUNTIF(Sales_Table[Order Status],'Sales Raw Data'!G2)</f>
        <v>117</v>
      </c>
      <c r="D5" s="30" t="s">
        <v>22</v>
      </c>
      <c r="E5" s="31">
        <f>SUMIF(Sales_Table[Region],'Sales Raw Data'!F105,Sales_Table[Net Sale])</f>
        <v>6887500</v>
      </c>
      <c r="F5" s="31">
        <f>SUMIF(Sales_Table[Region],'Sales Raw Data'!F63,Sales_Table[Profit])</f>
        <v>1471100</v>
      </c>
      <c r="G5" s="34">
        <f t="shared" ref="G5:G7" si="6">IFERROR(F5/E5,0)</f>
        <v>0.21358983666061707</v>
      </c>
      <c r="I5" s="30" t="s">
        <v>20</v>
      </c>
      <c r="J5" s="30" t="str">
        <f>VLOOKUP(I5,Products[],2,FALSE)</f>
        <v>Monitor</v>
      </c>
      <c r="K5" s="60">
        <f>SUMIFS(Sales_Table[Net Sale],Sales_Table[Product Name],J5,Sales_Table[Order Status],Sales_Table[[#This Row],[Order Status]])</f>
        <v>6904000</v>
      </c>
      <c r="L5" s="60">
        <f>SUMIFS(Sales_Table[Profit],Sales_Table[Sale Eligilblity],Sales_Table[[#This Row],[Sale Eligilblity]],Sales_Table[Product ID],Sales_Table[[#This Row],[Product ID]])</f>
        <v>666400</v>
      </c>
      <c r="M5" s="61">
        <f>SUMIFS(Sales_Table[Quantity],Sales_Table[Product ID],Sales_Table[[#This Row],[Product ID]],Sales_Table[Sale Eligilblity],Sales_Table[[#This Row],[Sale Eligilblity]])</f>
        <v>833</v>
      </c>
      <c r="O5" s="30" t="s">
        <v>21</v>
      </c>
      <c r="P5" s="30" t="str">
        <f>VLOOKUP(O5,Employees[],MATCH(Employees[[#Headers],[Employee Name]],Employees[#Headers],0),FALSE)</f>
        <v>Priya Sharma</v>
      </c>
      <c r="Q5" s="59">
        <f>SUMIFS(Sales_Table[Net Sale],Sales_Table[Employee ID],Analysis!O5,Sales_Table[Sale Eligilblity],Sales_Table[[#This Row],[Sale Eligilblity]])</f>
        <v>3637840</v>
      </c>
      <c r="R5" s="60">
        <f>SUMIFS(Sales_Table[Profit],Sales_Table[Employee ID],Analysis!O5,Sales_Table[Sale Eligilblity],Sales_Table[[#This Row],[Sale Eligilblity]])</f>
        <v>1031440</v>
      </c>
      <c r="S5" s="61">
        <f>COUNTIFS(Sales_Table[Employee ID],Analysis!O5,Sales_Table[Sale Eligilblity],Sales_Table[[#This Row],[Sale Eligilblity]])</f>
        <v>20</v>
      </c>
      <c r="U5" s="26" t="str">
        <f t="shared" si="0"/>
        <v>Feb-26</v>
      </c>
      <c r="V5" s="35">
        <f t="shared" si="1"/>
        <v>1249000</v>
      </c>
      <c r="W5" s="36">
        <f t="shared" si="2"/>
        <v>230000</v>
      </c>
      <c r="X5" s="20">
        <f t="shared" si="3"/>
        <v>80</v>
      </c>
      <c r="Y5" s="20">
        <f t="shared" si="4"/>
        <v>7</v>
      </c>
      <c r="Z5" s="24">
        <f t="shared" si="5"/>
        <v>-0.27652919369786844</v>
      </c>
      <c r="AC5" s="30" t="s">
        <v>22</v>
      </c>
      <c r="AD5" s="37">
        <f>SUMIF(Targets!B3:B38,Analysis!AC5,Targets!C3:C38)</f>
        <v>5150000</v>
      </c>
      <c r="AE5" s="59">
        <f>SUMIFS(Sales_Table[Net Sale],Sales_Table[Sale Eligilblity],Sales_Table[[#This Row],[Sale Eligilblity]],Sales_Table[Region],Analysis!AC5)</f>
        <v>6817500</v>
      </c>
      <c r="AF5" s="59">
        <f t="shared" ref="AF5:AF7" si="7">AE5-AD5</f>
        <v>1667500</v>
      </c>
      <c r="AG5" s="64">
        <f t="shared" ref="AG5:AG7" si="8">AF5/AD5</f>
        <v>0.3237864077669903</v>
      </c>
      <c r="AH5" s="9"/>
      <c r="AI5" s="30" t="s">
        <v>263</v>
      </c>
      <c r="AJ5" s="61">
        <f>SUMIF(Sales_Table[Order Status],"Returned",Sales_Table[Quantity])</f>
        <v>23</v>
      </c>
      <c r="AL5" s="9"/>
      <c r="AM5" s="12"/>
      <c r="AN5" s="12"/>
      <c r="AO5" s="71"/>
      <c r="AP5" s="72"/>
      <c r="AQ5" s="73"/>
    </row>
    <row r="6" spans="1:43" ht="15.5" x14ac:dyDescent="0.35">
      <c r="A6" s="30" t="s">
        <v>231</v>
      </c>
      <c r="B6" s="30">
        <f>COUNTIF(Sales_Table[Order Status],'Sales Raw Data'!$G$23)</f>
        <v>1</v>
      </c>
      <c r="D6" s="30" t="s">
        <v>28</v>
      </c>
      <c r="E6" s="31">
        <f>SUMIF(Sales_Table[Region],'Sales Raw Data'!F106,Sales_Table[Net Sale])</f>
        <v>6589000</v>
      </c>
      <c r="F6" s="31">
        <f>SUMIF(Sales_Table[Region],'Sales Raw Data'!F64,Sales_Table[Profit])</f>
        <v>1123500</v>
      </c>
      <c r="G6" s="34">
        <f t="shared" si="6"/>
        <v>0.1705114584914251</v>
      </c>
      <c r="I6" s="30" t="s">
        <v>26</v>
      </c>
      <c r="J6" s="30" t="str">
        <f>VLOOKUP(I6,Products[],2,FALSE)</f>
        <v>Keyboard</v>
      </c>
      <c r="K6" s="60">
        <f>SUMIFS(Sales_Table[Net Sale],Sales_Table[Product Name],J6,Sales_Table[Order Status],Sales_Table[[#This Row],[Order Status]])</f>
        <v>2982200</v>
      </c>
      <c r="L6" s="60">
        <f>SUMIFS(Sales_Table[Profit],Sales_Table[Sale Eligilblity],Sales_Table[[#This Row],[Sale Eligilblity]],Sales_Table[Product ID],Sales_Table[[#This Row],[Product ID]])</f>
        <v>846200</v>
      </c>
      <c r="M6" s="61">
        <f>SUMIFS(Sales_Table[Quantity],Sales_Table[Product ID],Sales_Table[[#This Row],[Product ID]],Sales_Table[Sale Eligilblity],Sales_Table[[#This Row],[Sale Eligilblity]])</f>
        <v>184</v>
      </c>
      <c r="O6" s="30" t="s">
        <v>27</v>
      </c>
      <c r="P6" s="30" t="str">
        <f>VLOOKUP(O6,Employees[],MATCH(Employees[[#Headers],[Employee Name]],Employees[#Headers],0),FALSE)</f>
        <v>Arjun Reddy</v>
      </c>
      <c r="Q6" s="59">
        <f>SUMIFS(Sales_Table[Net Sale],Sales_Table[Employee ID],Analysis!O6,Sales_Table[Sale Eligilblity],Sales_Table[[#This Row],[Sale Eligilblity]])</f>
        <v>4900750</v>
      </c>
      <c r="R6" s="60">
        <f>SUMIFS(Sales_Table[Profit],Sales_Table[Employee ID],Analysis!O6,Sales_Table[Sale Eligilblity],Sales_Table[[#This Row],[Sale Eligilblity]])</f>
        <v>654250</v>
      </c>
      <c r="S6" s="61">
        <f>COUNTIFS(Sales_Table[Employee ID],Analysis!O6,Sales_Table[Sale Eligilblity],Sales_Table[[#This Row],[Sale Eligilblity]])</f>
        <v>19</v>
      </c>
      <c r="U6" s="26" t="str">
        <f t="shared" si="0"/>
        <v>Mar-26</v>
      </c>
      <c r="V6" s="35">
        <f t="shared" si="1"/>
        <v>1318000</v>
      </c>
      <c r="W6" s="36">
        <f t="shared" si="2"/>
        <v>239400</v>
      </c>
      <c r="X6" s="20">
        <f t="shared" si="3"/>
        <v>139</v>
      </c>
      <c r="Y6" s="20">
        <f t="shared" si="4"/>
        <v>7</v>
      </c>
      <c r="Z6" s="24">
        <f t="shared" si="5"/>
        <v>5.5244195356284997E-2</v>
      </c>
      <c r="AC6" s="30" t="s">
        <v>28</v>
      </c>
      <c r="AD6" s="37">
        <f>SUMIF(Targets!B4:B39,Analysis!AC6,Targets!C4:C39)</f>
        <v>4700000</v>
      </c>
      <c r="AE6" s="59">
        <f>SUMIFS(Sales_Table[Net Sale],Sales_Table[Sale Eligilblity],Sales_Table[[#This Row],[Sale Eligilblity]],Sales_Table[Region],Analysis!AC6)</f>
        <v>6273500</v>
      </c>
      <c r="AF6" s="59">
        <f t="shared" si="7"/>
        <v>1573500</v>
      </c>
      <c r="AG6" s="64">
        <f t="shared" si="8"/>
        <v>0.33478723404255317</v>
      </c>
      <c r="AH6" s="9"/>
      <c r="AI6" s="30" t="s">
        <v>264</v>
      </c>
      <c r="AJ6" s="61">
        <f>SUMIF(Sales_Table[Order Status],"Returned",Sales_Table[Net Sale])</f>
        <v>315500</v>
      </c>
      <c r="AL6" s="9"/>
      <c r="AM6" s="13" t="s">
        <v>278</v>
      </c>
      <c r="AN6" s="13" t="s">
        <v>268</v>
      </c>
      <c r="AO6" s="68" t="str">
        <f>_xlfn.XLOOKUP(MAX(M4:M9),M4:M9,J4:J9)</f>
        <v>Monitor</v>
      </c>
      <c r="AP6" s="70"/>
      <c r="AQ6" s="69"/>
    </row>
    <row r="7" spans="1:43" ht="15.5" x14ac:dyDescent="0.35">
      <c r="A7" s="30" t="s">
        <v>232</v>
      </c>
      <c r="B7" s="30">
        <f>COUNTIF(Sales_Table[Order Status],'Sales Raw Data'!$G$16)</f>
        <v>2</v>
      </c>
      <c r="D7" s="30" t="s">
        <v>34</v>
      </c>
      <c r="E7" s="31">
        <f>SUMIF(Sales_Table[Region],'Sales Raw Data'!F107,Sales_Table[Net Sale])</f>
        <v>5235540</v>
      </c>
      <c r="F7" s="31">
        <f>SUMIF(Sales_Table[Region],'Sales Raw Data'!F65,Sales_Table[Profit])</f>
        <v>1243540</v>
      </c>
      <c r="G7" s="34">
        <f t="shared" si="6"/>
        <v>0.23751895697482972</v>
      </c>
      <c r="I7" s="30" t="s">
        <v>32</v>
      </c>
      <c r="J7" s="30" t="str">
        <f>VLOOKUP(I7,Products[],2,FALSE)</f>
        <v>Mouse</v>
      </c>
      <c r="K7" s="60">
        <f>SUMIFS(Sales_Table[Net Sale],Sales_Table[Product Name],J7,Sales_Table[Order Status],Sales_Table[[#This Row],[Order Status]])</f>
        <v>1666000</v>
      </c>
      <c r="L7" s="60">
        <f>SUMIFS(Sales_Table[Profit],Sales_Table[Sale Eligilblity],Sales_Table[[#This Row],[Sale Eligilblity]],Sales_Table[Product ID],Sales_Table[[#This Row],[Product ID]])</f>
        <v>1062240</v>
      </c>
      <c r="M7" s="61">
        <f>SUMIFS(Sales_Table[Quantity],Sales_Table[Product ID],Sales_Table[[#This Row],[Product ID]],Sales_Table[Sale Eligilblity],Sales_Table[[#This Row],[Sale Eligilblity]])</f>
        <v>444</v>
      </c>
      <c r="O7" s="30" t="s">
        <v>33</v>
      </c>
      <c r="P7" s="30" t="str">
        <f>VLOOKUP(O7,Employees[],MATCH(Employees[[#Headers],[Employee Name]],Employees[#Headers],0),FALSE)</f>
        <v>Sneha Patel</v>
      </c>
      <c r="Q7" s="59">
        <f>SUMIFS(Sales_Table[Net Sale],Sales_Table[Employee ID],Analysis!O7,Sales_Table[Sale Eligilblity],Sales_Table[[#This Row],[Sale Eligilblity]])</f>
        <v>6662750</v>
      </c>
      <c r="R7" s="60">
        <f>SUMIFS(Sales_Table[Profit],Sales_Table[Employee ID],Analysis!O7,Sales_Table[Sale Eligilblity],Sales_Table[[#This Row],[Sale Eligilblity]])</f>
        <v>965250</v>
      </c>
      <c r="S7" s="61">
        <f>COUNTIFS(Sales_Table[Employee ID],Analysis!O7,Sales_Table[Sale Eligilblity],Sales_Table[[#This Row],[Sale Eligilblity]])</f>
        <v>20</v>
      </c>
      <c r="U7" s="26" t="str">
        <f t="shared" si="0"/>
        <v>Apr-26</v>
      </c>
      <c r="V7" s="35">
        <f t="shared" si="1"/>
        <v>1367440</v>
      </c>
      <c r="W7" s="36">
        <f t="shared" si="2"/>
        <v>266040</v>
      </c>
      <c r="X7" s="20">
        <f t="shared" si="3"/>
        <v>121</v>
      </c>
      <c r="Y7" s="20">
        <f t="shared" si="4"/>
        <v>8</v>
      </c>
      <c r="Z7" s="24">
        <f t="shared" si="5"/>
        <v>3.7511380880121292E-2</v>
      </c>
      <c r="AA7" s="3"/>
      <c r="AC7" s="30" t="s">
        <v>34</v>
      </c>
      <c r="AD7" s="37">
        <f>SUMIF(Targets!B5:B40,Analysis!AC7,Targets!C5:C40)</f>
        <v>4700000</v>
      </c>
      <c r="AE7" s="59">
        <f>SUMIFS(Sales_Table[Net Sale],Sales_Table[Sale Eligilblity],Sales_Table[[#This Row],[Sale Eligilblity]],Sales_Table[Region],Analysis!AC7)</f>
        <v>5235540</v>
      </c>
      <c r="AF7" s="59">
        <f t="shared" si="7"/>
        <v>535540</v>
      </c>
      <c r="AG7" s="64">
        <f t="shared" si="8"/>
        <v>0.11394468085106382</v>
      </c>
      <c r="AH7" s="9"/>
      <c r="AI7" s="30" t="s">
        <v>265</v>
      </c>
      <c r="AJ7" s="64">
        <f>AJ4/B4</f>
        <v>1.6666666666666666E-2</v>
      </c>
      <c r="AL7" s="10"/>
      <c r="AM7" s="13" t="s">
        <v>279</v>
      </c>
      <c r="AN7" s="13" t="s">
        <v>269</v>
      </c>
      <c r="AO7" s="68" t="str">
        <f>_xlfn.XLOOKUP(MAX(L4:L9),L4:L9,J4:J9)</f>
        <v>Mouse</v>
      </c>
      <c r="AP7" s="70"/>
      <c r="AQ7" s="69"/>
    </row>
    <row r="8" spans="1:43" ht="15.5" x14ac:dyDescent="0.35">
      <c r="A8" s="30" t="s">
        <v>233</v>
      </c>
      <c r="B8" s="30">
        <f>SUMIFS(Sales_Table[Quantity],Sales_Table[Sale Eligilblity],'Sales Raw Data'!Y103)</f>
        <v>2520</v>
      </c>
      <c r="I8" s="30" t="s">
        <v>38</v>
      </c>
      <c r="J8" s="30" t="str">
        <f>VLOOKUP(I8,Products[],2,FALSE)</f>
        <v>Printer</v>
      </c>
      <c r="K8" s="60">
        <f>SUMIFS(Sales_Table[Net Sale],Sales_Table[Product Name],J8,Sales_Table[Order Status],Sales_Table[[#This Row],[Order Status]])</f>
        <v>5814200</v>
      </c>
      <c r="L8" s="60">
        <f>SUMIFS(Sales_Table[Profit],Sales_Table[Sale Eligilblity],Sales_Table[[#This Row],[Sale Eligilblity]],Sales_Table[Product ID],Sales_Table[[#This Row],[Product ID]])</f>
        <v>654000</v>
      </c>
      <c r="M8" s="61">
        <f>SUMIFS(Sales_Table[Quantity],Sales_Table[Product ID],Sales_Table[[#This Row],[Product ID]],Sales_Table[Sale Eligilblity],Sales_Table[[#This Row],[Sale Eligilblity]])</f>
        <v>115</v>
      </c>
      <c r="O8" s="30" t="s">
        <v>39</v>
      </c>
      <c r="P8" s="30" t="str">
        <f>VLOOKUP(O8,Employees[],MATCH(Employees[[#Headers],[Employee Name]],Employees[#Headers],0),FALSE)</f>
        <v>Kiran Rao</v>
      </c>
      <c r="Q8" s="59">
        <f>SUMIFS(Sales_Table[Net Sale],Sales_Table[Employee ID],Analysis!O8,Sales_Table[Sale Eligilblity],Sales_Table[[#This Row],[Sale Eligilblity]])</f>
        <v>3045400</v>
      </c>
      <c r="R8" s="60">
        <f>SUMIFS(Sales_Table[Profit],Sales_Table[Employee ID],Analysis!O8,Sales_Table[Sale Eligilblity],Sales_Table[[#This Row],[Sale Eligilblity]])</f>
        <v>775400</v>
      </c>
      <c r="S8" s="61">
        <f>COUNTIFS(Sales_Table[Employee ID],Analysis!O8,Sales_Table[Sale Eligilblity],Sales_Table[[#This Row],[Sale Eligilblity]])</f>
        <v>19</v>
      </c>
      <c r="U8" s="26" t="str">
        <f t="shared" si="0"/>
        <v>May-26</v>
      </c>
      <c r="V8" s="35">
        <f t="shared" si="1"/>
        <v>0</v>
      </c>
      <c r="W8" s="36">
        <f t="shared" si="2"/>
        <v>0</v>
      </c>
      <c r="X8" s="20">
        <f t="shared" si="3"/>
        <v>0</v>
      </c>
      <c r="Y8" s="20">
        <f t="shared" si="4"/>
        <v>0</v>
      </c>
      <c r="Z8" s="24">
        <f t="shared" si="5"/>
        <v>-1</v>
      </c>
      <c r="AC8" s="9"/>
      <c r="AD8" s="9"/>
      <c r="AH8" s="9"/>
      <c r="AI8" s="9"/>
      <c r="AK8" s="9"/>
      <c r="AL8" s="9"/>
      <c r="AM8" s="13" t="s">
        <v>280</v>
      </c>
      <c r="AN8" s="13" t="s">
        <v>270</v>
      </c>
      <c r="AO8" s="68" t="str">
        <f>_xlfn.XLOOKUP(MAX(Q4:Q9),Q4:Q9,P4:P9)</f>
        <v>Sneha Patel</v>
      </c>
      <c r="AP8" s="70"/>
      <c r="AQ8" s="69"/>
    </row>
    <row r="9" spans="1:43" ht="15.5" x14ac:dyDescent="0.35">
      <c r="A9" s="30" t="s">
        <v>234</v>
      </c>
      <c r="B9" s="31">
        <f>SUMIF(Sales_Table[Sale Eligilblity],'Sales Raw Data'!Y103,Sales_Table[Net Sale])</f>
        <v>25876440</v>
      </c>
      <c r="I9" s="30" t="s">
        <v>42</v>
      </c>
      <c r="J9" s="30" t="str">
        <f>VLOOKUP(I9,Products[],2,FALSE)</f>
        <v>Headset</v>
      </c>
      <c r="K9" s="60">
        <f>SUMIFS(Sales_Table[Net Sale],Sales_Table[Product Name],J9,Sales_Table[Order Status],Sales_Table[[#This Row],[Order Status]])</f>
        <v>3371040</v>
      </c>
      <c r="L9" s="60">
        <f>SUMIFS(Sales_Table[Profit],Sales_Table[Sale Eligilblity],Sales_Table[[#This Row],[Sale Eligilblity]],Sales_Table[Product ID],Sales_Table[[#This Row],[Product ID]])</f>
        <v>976000</v>
      </c>
      <c r="M9" s="61">
        <f>SUMIFS(Sales_Table[Quantity],Sales_Table[Product ID],Sales_Table[[#This Row],[Product ID]],Sales_Table[Sale Eligilblity],Sales_Table[[#This Row],[Sale Eligilblity]])</f>
        <v>312</v>
      </c>
      <c r="O9" s="30" t="s">
        <v>43</v>
      </c>
      <c r="P9" s="30" t="str">
        <f>VLOOKUP(O9,Employees[],MATCH(Employees[[#Headers],[Employee Name]],Employees[#Headers],0),FALSE)</f>
        <v>Anjali Singh</v>
      </c>
      <c r="Q9" s="59">
        <f>SUMIFS(Sales_Table[Net Sale],Sales_Table[Employee ID],Analysis!O9,Sales_Table[Sale Eligilblity],Sales_Table[[#This Row],[Sale Eligilblity]])</f>
        <v>1771200</v>
      </c>
      <c r="R9" s="60">
        <f>SUMIFS(Sales_Table[Profit],Sales_Table[Employee ID],Analysis!O9,Sales_Table[Sale Eligilblity],Sales_Table[[#This Row],[Sale Eligilblity]])</f>
        <v>691200</v>
      </c>
      <c r="S9" s="61">
        <f>COUNTIFS(Sales_Table[Employee ID],Analysis!O9,Sales_Table[Sale Eligilblity],Sales_Table[[#This Row],[Sale Eligilblity]])</f>
        <v>19</v>
      </c>
      <c r="U9" s="26" t="str">
        <f t="shared" si="0"/>
        <v>Jun-26</v>
      </c>
      <c r="V9" s="35">
        <f t="shared" si="1"/>
        <v>1562500</v>
      </c>
      <c r="W9" s="36">
        <f t="shared" si="2"/>
        <v>327000</v>
      </c>
      <c r="X9" s="20">
        <f t="shared" si="3"/>
        <v>197</v>
      </c>
      <c r="Y9" s="20">
        <f t="shared" si="4"/>
        <v>8</v>
      </c>
      <c r="Z9" s="24">
        <f t="shared" si="5"/>
        <v>0</v>
      </c>
      <c r="AK9" s="3"/>
      <c r="AL9" s="3"/>
      <c r="AM9" s="13" t="s">
        <v>281</v>
      </c>
      <c r="AN9" s="13" t="s">
        <v>271</v>
      </c>
      <c r="AO9" s="68" t="str">
        <f>_xlfn.XLOOKUP(MAX(G4:G7),G4:G7,D4:D7)</f>
        <v>Pune</v>
      </c>
      <c r="AP9" s="69"/>
      <c r="AQ9" s="13" t="s">
        <v>282</v>
      </c>
    </row>
    <row r="10" spans="1:43" ht="15.5" x14ac:dyDescent="0.35">
      <c r="A10" s="30" t="s">
        <v>218</v>
      </c>
      <c r="B10" s="31">
        <f>SUMIF(Sales_Table[Sale Eligilblity],'Sales Raw Data'!Y106,Sales_Table[Total Cost])</f>
        <v>20901400</v>
      </c>
      <c r="U10" s="26" t="str">
        <f t="shared" si="0"/>
        <v>Jul-26</v>
      </c>
      <c r="V10" s="35">
        <f t="shared" si="1"/>
        <v>1387100</v>
      </c>
      <c r="W10" s="36">
        <f t="shared" si="2"/>
        <v>288900</v>
      </c>
      <c r="X10" s="20">
        <f t="shared" si="3"/>
        <v>144</v>
      </c>
      <c r="Y10" s="20">
        <f t="shared" si="4"/>
        <v>7</v>
      </c>
      <c r="Z10" s="24">
        <f t="shared" si="5"/>
        <v>-0.11225600000000002</v>
      </c>
      <c r="AM10" s="13" t="s">
        <v>282</v>
      </c>
      <c r="AN10" s="13" t="s">
        <v>272</v>
      </c>
      <c r="AO10" s="14">
        <f>AVERAGEIF(Sales_Table[Order Status],'Sales Raw Data'!G107,Sales_Table[Net Sale])</f>
        <v>221166.15384615384</v>
      </c>
      <c r="AP10" s="15">
        <f>AVERAGEIF(Sales_Table[Order Status],'Sales Raw Data'!G2,Sales_Table[profit%])</f>
        <v>0.2309186988327292</v>
      </c>
      <c r="AQ10" s="14" t="str" cm="1">
        <f t="array" ref="AQ10:AQ58">_xlfn._xlws.FILTER(Sales_Table[Order ID],(Sales_Table[Net Sale]&gt;Analysis!AO10)*(Sales_Table[profit%]&lt;Analysis!AP10))</f>
        <v>O1001</v>
      </c>
    </row>
    <row r="11" spans="1:43" ht="15.5" x14ac:dyDescent="0.35">
      <c r="A11" s="30" t="s">
        <v>235</v>
      </c>
      <c r="B11" s="32">
        <f>SUMIF(Sales_Table[Sale Eligilblity],'Sales Raw Data'!Y107,Sales_Table[Profit])</f>
        <v>4975040</v>
      </c>
      <c r="U11" s="26" t="str">
        <f t="shared" si="0"/>
        <v>Aug-26</v>
      </c>
      <c r="V11" s="35">
        <f t="shared" si="1"/>
        <v>1927950</v>
      </c>
      <c r="W11" s="36">
        <f t="shared" si="2"/>
        <v>329750</v>
      </c>
      <c r="X11" s="20">
        <f t="shared" si="3"/>
        <v>152</v>
      </c>
      <c r="Y11" s="20">
        <f t="shared" si="4"/>
        <v>8</v>
      </c>
      <c r="Z11" s="24">
        <f t="shared" si="5"/>
        <v>0.38991420950183842</v>
      </c>
      <c r="AE11" s="27" t="s">
        <v>221</v>
      </c>
      <c r="AF11" s="27" t="s">
        <v>237</v>
      </c>
      <c r="AG11" s="27" t="s">
        <v>219</v>
      </c>
      <c r="AH11" s="28" t="s">
        <v>8</v>
      </c>
      <c r="AI11" s="28" t="s">
        <v>240</v>
      </c>
      <c r="AJ11" s="27" t="s">
        <v>241</v>
      </c>
      <c r="AM11" s="13" t="s">
        <v>283</v>
      </c>
      <c r="AN11" s="11" t="s">
        <v>273</v>
      </c>
      <c r="AO11" s="14" t="str">
        <f>_xlfn.XLOOKUP(MAX(Sales_Table[Net Sale]),Sales_Table[Net Sale],Sales_Table[Order ID])</f>
        <v>O1116</v>
      </c>
      <c r="AP11" s="12"/>
      <c r="AQ11" s="14" t="str">
        <v>O1014</v>
      </c>
    </row>
    <row r="12" spans="1:43" ht="15.5" x14ac:dyDescent="0.35">
      <c r="A12" s="30" t="s">
        <v>236</v>
      </c>
      <c r="B12" s="33">
        <f>B11/B9</f>
        <v>0.19226137753106687</v>
      </c>
      <c r="U12" s="26" t="str">
        <f t="shared" si="0"/>
        <v>Sep-26</v>
      </c>
      <c r="V12" s="35">
        <f t="shared" si="1"/>
        <v>3655200</v>
      </c>
      <c r="W12" s="36">
        <f t="shared" si="2"/>
        <v>721700</v>
      </c>
      <c r="X12" s="20">
        <f t="shared" si="3"/>
        <v>410</v>
      </c>
      <c r="Y12" s="20">
        <f t="shared" si="4"/>
        <v>16</v>
      </c>
      <c r="Z12" s="24">
        <f t="shared" si="5"/>
        <v>0.89589978993231156</v>
      </c>
      <c r="AE12" s="62" t="str" cm="1">
        <f t="array" ref="AE12:AE23">TEXT(_xlfn.UNIQUE(Sales_Table[Month],FALSE),"MMM-YY")</f>
        <v>Jan-26</v>
      </c>
      <c r="AF12" s="63">
        <f>SUMIFS(Sales_Table[Net Sale],Sales_Table[Sale Eligilblity],Sales_Table[[#This Row],[Sale Eligilblity]],Sales_Table[Month],Analysis!AE12)</f>
        <v>1726400</v>
      </c>
      <c r="AG12" s="65">
        <f>SUMIFS(Sales_Table[Profit],Sales_Table[Sale Eligilblity],Sales_Table[[#This Row],[Sale Eligilblity]],Sales_Table[Month],Analysis!AE12)</f>
        <v>342000</v>
      </c>
      <c r="AH12" s="29">
        <f>SUMIFS(Sales_Table[Quantity],Sales_Table[Month],Analysis!AE12,Sales_Table[Sale Eligilblity],Sales_Table[[#This Row],[Sale Eligilblity]])</f>
        <v>157</v>
      </c>
      <c r="AI12" s="29">
        <f>COUNTIFS(Sales_Table[Sale Eligilblity],Sales_Table[[#This Row],[Sale Eligilblity]],Sales_Table[Month],Analysis!AE12)</f>
        <v>12</v>
      </c>
      <c r="AJ12" s="66"/>
      <c r="AM12" s="13" t="s">
        <v>284</v>
      </c>
      <c r="AN12" s="13" t="s">
        <v>274</v>
      </c>
      <c r="AO12" s="14">
        <f>SUMIFS(Sales_Table[Net Sale],Sales_Table[Product ID],'Sales Raw Data'!D2,Sales_Table[Region],'Sales Raw Data'!F3)</f>
        <v>264000</v>
      </c>
      <c r="AP12" s="13" t="s">
        <v>285</v>
      </c>
      <c r="AQ12" s="14" t="str">
        <v>O1018</v>
      </c>
    </row>
    <row r="13" spans="1:43" ht="15.5" x14ac:dyDescent="0.35">
      <c r="U13" s="26" t="str">
        <f t="shared" si="0"/>
        <v>Oct-26</v>
      </c>
      <c r="V13" s="35">
        <f t="shared" si="1"/>
        <v>3064600</v>
      </c>
      <c r="W13" s="36">
        <f t="shared" si="2"/>
        <v>601400</v>
      </c>
      <c r="X13" s="20">
        <f t="shared" si="3"/>
        <v>299</v>
      </c>
      <c r="Y13" s="20">
        <f t="shared" si="4"/>
        <v>12</v>
      </c>
      <c r="Z13" s="24">
        <f t="shared" si="5"/>
        <v>-0.16157802582622016</v>
      </c>
      <c r="AE13" s="62" t="str">
        <v>Feb-26</v>
      </c>
      <c r="AF13" s="63">
        <f>SUMIFS(Sales_Table[Net Sale],Sales_Table[Sale Eligilblity],Sales_Table[[#This Row],[Sale Eligilblity]],Sales_Table[Month],Analysis!AE13)</f>
        <v>1249000</v>
      </c>
      <c r="AG13" s="65">
        <f>SUMIFS(Sales_Table[Profit],Sales_Table[Sale Eligilblity],Sales_Table[[#This Row],[Sale Eligilblity]],Sales_Table[Month],Analysis!AE13)</f>
        <v>230000</v>
      </c>
      <c r="AH13" s="29">
        <f>SUMIFS(Sales_Table[Quantity],Sales_Table[Month],Analysis!AE13,Sales_Table[Sale Eligilblity],Sales_Table[[#This Row],[Sale Eligilblity]])</f>
        <v>80</v>
      </c>
      <c r="AI13" s="29">
        <f>COUNTIFS(Sales_Table[Sale Eligilblity],Sales_Table[[#This Row],[Sale Eligilblity]],Sales_Table[Month],Analysis!AE13)</f>
        <v>7</v>
      </c>
      <c r="AJ13" s="67">
        <f t="shared" ref="AJ13:AJ23" si="9">IFERROR(AF13/AF12-1,0)</f>
        <v>-0.27652919369786844</v>
      </c>
      <c r="AM13" s="13" t="s">
        <v>285</v>
      </c>
      <c r="AN13" s="13" t="s">
        <v>275</v>
      </c>
      <c r="AO13" s="12"/>
      <c r="AP13" s="14" t="str" cm="1">
        <f t="array" ref="AP13:AP129">_xlfn._xlws.FILTER(Sales_Table[Order ID],Sales_Table[Order Status]='Sales Raw Data'!G2)</f>
        <v>O1001</v>
      </c>
      <c r="AQ13" s="14" t="str">
        <v>O1023</v>
      </c>
    </row>
    <row r="14" spans="1:43" ht="15.5" x14ac:dyDescent="0.35">
      <c r="U14" s="26" t="str">
        <f t="shared" si="0"/>
        <v>Nov-26</v>
      </c>
      <c r="V14" s="35">
        <f t="shared" si="1"/>
        <v>3266550</v>
      </c>
      <c r="W14" s="36">
        <f t="shared" si="2"/>
        <v>620450</v>
      </c>
      <c r="X14" s="20">
        <f t="shared" si="3"/>
        <v>330</v>
      </c>
      <c r="Y14" s="20">
        <f t="shared" si="4"/>
        <v>12</v>
      </c>
      <c r="Z14" s="24">
        <f t="shared" si="5"/>
        <v>6.5897670169027034E-2</v>
      </c>
      <c r="AE14" s="62" t="str">
        <v>Mar-26</v>
      </c>
      <c r="AF14" s="63">
        <f>SUMIFS(Sales_Table[Net Sale],Sales_Table[Sale Eligilblity],Sales_Table[[#This Row],[Sale Eligilblity]],Sales_Table[Month],Analysis!AE14)</f>
        <v>1318000</v>
      </c>
      <c r="AG14" s="65">
        <f>SUMIFS(Sales_Table[Profit],Sales_Table[Sale Eligilblity],Sales_Table[[#This Row],[Sale Eligilblity]],Sales_Table[Month],Analysis!AE14)</f>
        <v>239400</v>
      </c>
      <c r="AH14" s="29">
        <f>SUMIFS(Sales_Table[Quantity],Sales_Table[Month],Analysis!AE14,Sales_Table[Sale Eligilblity],Sales_Table[[#This Row],[Sale Eligilblity]])</f>
        <v>139</v>
      </c>
      <c r="AI14" s="29">
        <f>COUNTIFS(Sales_Table[Sale Eligilblity],Sales_Table[[#This Row],[Sale Eligilblity]],Sales_Table[Month],Analysis!AE14)</f>
        <v>7</v>
      </c>
      <c r="AJ14" s="67">
        <f t="shared" si="9"/>
        <v>5.5244195356284997E-2</v>
      </c>
      <c r="AM14" s="13" t="s">
        <v>286</v>
      </c>
      <c r="AN14" s="13" t="s">
        <v>276</v>
      </c>
      <c r="AO14" s="14" t="str" cm="1">
        <f t="array" ref="AO14">_xlfn._xlws.FILTER(Sales_Table[Order ID],Sales_Table[Order Status]='Sales Raw Data'!G23)</f>
        <v>O1022</v>
      </c>
      <c r="AP14" s="14" t="str">
        <v>O1002</v>
      </c>
      <c r="AQ14" s="14" t="str">
        <v>O1025</v>
      </c>
    </row>
    <row r="15" spans="1:43" ht="15.5" x14ac:dyDescent="0.35">
      <c r="U15" s="26" t="str">
        <f t="shared" si="0"/>
        <v>Dec-26</v>
      </c>
      <c r="V15" s="35">
        <f t="shared" si="1"/>
        <v>0</v>
      </c>
      <c r="W15" s="36">
        <f t="shared" si="2"/>
        <v>0</v>
      </c>
      <c r="X15" s="20">
        <f t="shared" si="3"/>
        <v>0</v>
      </c>
      <c r="Y15" s="20">
        <f t="shared" si="4"/>
        <v>0</v>
      </c>
      <c r="Z15" s="24">
        <f t="shared" si="5"/>
        <v>-1</v>
      </c>
      <c r="AE15" s="62" t="str">
        <v>Apr-26</v>
      </c>
      <c r="AF15" s="63">
        <f>SUMIFS(Sales_Table[Net Sale],Sales_Table[Sale Eligilblity],Sales_Table[[#This Row],[Sale Eligilblity]],Sales_Table[Month],Analysis!AE15)</f>
        <v>1367440</v>
      </c>
      <c r="AG15" s="65">
        <f>SUMIFS(Sales_Table[Profit],Sales_Table[Sale Eligilblity],Sales_Table[[#This Row],[Sale Eligilblity]],Sales_Table[Month],Analysis!AE15)</f>
        <v>266040</v>
      </c>
      <c r="AH15" s="29">
        <f>SUMIFS(Sales_Table[Quantity],Sales_Table[Month],Analysis!AE15,Sales_Table[Sale Eligilblity],Sales_Table[[#This Row],[Sale Eligilblity]])</f>
        <v>121</v>
      </c>
      <c r="AI15" s="29">
        <f>COUNTIFS(Sales_Table[Sale Eligilblity],Sales_Table[[#This Row],[Sale Eligilblity]],Sales_Table[Month],Analysis!AE15)</f>
        <v>8</v>
      </c>
      <c r="AJ15" s="67">
        <f t="shared" si="9"/>
        <v>3.7511380880121292E-2</v>
      </c>
      <c r="AM15" s="12"/>
      <c r="AN15" s="12"/>
      <c r="AO15" s="12"/>
      <c r="AP15" s="14" t="str">
        <v>O1003</v>
      </c>
      <c r="AQ15" s="14" t="str">
        <v>O1026</v>
      </c>
    </row>
    <row r="16" spans="1:43" x14ac:dyDescent="0.35">
      <c r="AE16" s="62" t="str">
        <v>May-26</v>
      </c>
      <c r="AF16" s="63">
        <f>SUMIFS(Sales_Table[Net Sale],Sales_Table[Sale Eligilblity],Sales_Table[[#This Row],[Sale Eligilblity]],Sales_Table[Month],Analysis!AE16)</f>
        <v>0</v>
      </c>
      <c r="AG16" s="65">
        <f>SUMIFS(Sales_Table[Profit],Sales_Table[Sale Eligilblity],Sales_Table[[#This Row],[Sale Eligilblity]],Sales_Table[Month],Analysis!AE16)</f>
        <v>0</v>
      </c>
      <c r="AH16" s="29">
        <f>SUMIFS(Sales_Table[Quantity],Sales_Table[Month],Analysis!AE16,Sales_Table[Sale Eligilblity],Sales_Table[[#This Row],[Sale Eligilblity]])</f>
        <v>0</v>
      </c>
      <c r="AI16" s="29">
        <f>COUNTIFS(Sales_Table[Sale Eligilblity],Sales_Table[[#This Row],[Sale Eligilblity]],Sales_Table[Month],Analysis!AE16)</f>
        <v>0</v>
      </c>
      <c r="AJ16" s="67">
        <f t="shared" si="9"/>
        <v>-1</v>
      </c>
      <c r="AM16" s="12"/>
      <c r="AN16" s="12"/>
      <c r="AO16" s="12"/>
      <c r="AP16" s="14" t="str">
        <v>O1004</v>
      </c>
      <c r="AQ16" s="14" t="str">
        <v>O1029</v>
      </c>
    </row>
    <row r="17" spans="31:43" x14ac:dyDescent="0.35">
      <c r="AE17" s="62" t="str">
        <v>Jun-26</v>
      </c>
      <c r="AF17" s="63">
        <f>SUMIFS(Sales_Table[Net Sale],Sales_Table[Sale Eligilblity],Sales_Table[[#This Row],[Sale Eligilblity]],Sales_Table[Month],Analysis!AE17)</f>
        <v>1562500</v>
      </c>
      <c r="AG17" s="65">
        <f>SUMIFS(Sales_Table[Profit],Sales_Table[Sale Eligilblity],Sales_Table[[#This Row],[Sale Eligilblity]],Sales_Table[Month],Analysis!AE17)</f>
        <v>327000</v>
      </c>
      <c r="AH17" s="29">
        <f>SUMIFS(Sales_Table[Quantity],Sales_Table[Month],Analysis!AE17,Sales_Table[Sale Eligilblity],Sales_Table[[#This Row],[Sale Eligilblity]])</f>
        <v>197</v>
      </c>
      <c r="AI17" s="29">
        <f>COUNTIFS(Sales_Table[Sale Eligilblity],Sales_Table[[#This Row],[Sale Eligilblity]],Sales_Table[Month],Analysis!AE17)</f>
        <v>8</v>
      </c>
      <c r="AJ17" s="67">
        <f t="shared" si="9"/>
        <v>0</v>
      </c>
      <c r="AM17" s="12"/>
      <c r="AN17" s="12"/>
      <c r="AO17" s="12"/>
      <c r="AP17" s="14" t="str">
        <v>O1005</v>
      </c>
      <c r="AQ17" s="14" t="str">
        <v>O1031</v>
      </c>
    </row>
    <row r="18" spans="31:43" x14ac:dyDescent="0.35">
      <c r="AE18" s="62" t="str">
        <v>Jul-26</v>
      </c>
      <c r="AF18" s="63">
        <f>SUMIFS(Sales_Table[Net Sale],Sales_Table[Sale Eligilblity],Sales_Table[[#This Row],[Sale Eligilblity]],Sales_Table[Month],Analysis!AE18)</f>
        <v>1387100</v>
      </c>
      <c r="AG18" s="65">
        <f>SUMIFS(Sales_Table[Profit],Sales_Table[Sale Eligilblity],Sales_Table[[#This Row],[Sale Eligilblity]],Sales_Table[Month],Analysis!AE18)</f>
        <v>288900</v>
      </c>
      <c r="AH18" s="29">
        <f>SUMIFS(Sales_Table[Quantity],Sales_Table[Month],Analysis!AE18,Sales_Table[Sale Eligilblity],Sales_Table[[#This Row],[Sale Eligilblity]])</f>
        <v>144</v>
      </c>
      <c r="AI18" s="29">
        <f>COUNTIFS(Sales_Table[Sale Eligilblity],Sales_Table[[#This Row],[Sale Eligilblity]],Sales_Table[Month],Analysis!AE18)</f>
        <v>7</v>
      </c>
      <c r="AJ18" s="67">
        <f t="shared" si="9"/>
        <v>-0.11225600000000002</v>
      </c>
      <c r="AM18" s="12"/>
      <c r="AN18" s="12"/>
      <c r="AO18" s="12"/>
      <c r="AP18" s="14" t="str">
        <v>O1006</v>
      </c>
      <c r="AQ18" s="14" t="str">
        <v>O1032</v>
      </c>
    </row>
    <row r="19" spans="31:43" x14ac:dyDescent="0.35">
      <c r="AE19" s="62" t="str">
        <v>Aug-26</v>
      </c>
      <c r="AF19" s="63">
        <f>SUMIFS(Sales_Table[Net Sale],Sales_Table[Sale Eligilblity],Sales_Table[[#This Row],[Sale Eligilblity]],Sales_Table[Month],Analysis!AE19)</f>
        <v>1927950</v>
      </c>
      <c r="AG19" s="65">
        <f>SUMIFS(Sales_Table[Profit],Sales_Table[Sale Eligilblity],Sales_Table[[#This Row],[Sale Eligilblity]],Sales_Table[Month],Analysis!AE19)</f>
        <v>329750</v>
      </c>
      <c r="AH19" s="29">
        <f>SUMIFS(Sales_Table[Quantity],Sales_Table[Month],Analysis!AE19,Sales_Table[Sale Eligilblity],Sales_Table[[#This Row],[Sale Eligilblity]])</f>
        <v>152</v>
      </c>
      <c r="AI19" s="29">
        <f>COUNTIFS(Sales_Table[Sale Eligilblity],Sales_Table[[#This Row],[Sale Eligilblity]],Sales_Table[Month],Analysis!AE19)</f>
        <v>8</v>
      </c>
      <c r="AJ19" s="67">
        <f t="shared" si="9"/>
        <v>0.38991420950183842</v>
      </c>
      <c r="AM19" s="12"/>
      <c r="AN19" s="12"/>
      <c r="AO19" s="12"/>
      <c r="AP19" s="14" t="str">
        <v>O1007</v>
      </c>
      <c r="AQ19" s="14" t="str">
        <v>O1037</v>
      </c>
    </row>
    <row r="20" spans="31:43" x14ac:dyDescent="0.35">
      <c r="AE20" s="62" t="str">
        <v>Sep-26</v>
      </c>
      <c r="AF20" s="63">
        <f>SUMIFS(Sales_Table[Net Sale],Sales_Table[Sale Eligilblity],Sales_Table[[#This Row],[Sale Eligilblity]],Sales_Table[Month],Analysis!AE20)</f>
        <v>3655200</v>
      </c>
      <c r="AG20" s="65">
        <f>SUMIFS(Sales_Table[Profit],Sales_Table[Sale Eligilblity],Sales_Table[[#This Row],[Sale Eligilblity]],Sales_Table[Month],Analysis!AE20)</f>
        <v>721700</v>
      </c>
      <c r="AH20" s="29">
        <f>SUMIFS(Sales_Table[Quantity],Sales_Table[Month],Analysis!AE20,Sales_Table[Sale Eligilblity],Sales_Table[[#This Row],[Sale Eligilblity]])</f>
        <v>410</v>
      </c>
      <c r="AI20" s="29">
        <f>COUNTIFS(Sales_Table[Sale Eligilblity],Sales_Table[[#This Row],[Sale Eligilblity]],Sales_Table[Month],Analysis!AE20)</f>
        <v>16</v>
      </c>
      <c r="AJ20" s="67">
        <f t="shared" si="9"/>
        <v>0.89589978993231156</v>
      </c>
      <c r="AM20" s="12"/>
      <c r="AN20" s="12"/>
      <c r="AO20" s="12"/>
      <c r="AP20" s="14" t="str">
        <v>O1008</v>
      </c>
      <c r="AQ20" s="14" t="str">
        <v>O1038</v>
      </c>
    </row>
    <row r="21" spans="31:43" x14ac:dyDescent="0.35">
      <c r="AE21" s="62" t="str">
        <v>Oct-26</v>
      </c>
      <c r="AF21" s="63">
        <f>SUMIFS(Sales_Table[Net Sale],Sales_Table[Sale Eligilblity],Sales_Table[[#This Row],[Sale Eligilblity]],Sales_Table[Month],Analysis!AE21)</f>
        <v>3064600</v>
      </c>
      <c r="AG21" s="65">
        <f>SUMIFS(Sales_Table[Profit],Sales_Table[Sale Eligilblity],Sales_Table[[#This Row],[Sale Eligilblity]],Sales_Table[Month],Analysis!AE21)</f>
        <v>601400</v>
      </c>
      <c r="AH21" s="29">
        <f>SUMIFS(Sales_Table[Quantity],Sales_Table[Month],Analysis!AE21,Sales_Table[Sale Eligilblity],Sales_Table[[#This Row],[Sale Eligilblity]])</f>
        <v>299</v>
      </c>
      <c r="AI21" s="29">
        <f>COUNTIFS(Sales_Table[Sale Eligilblity],Sales_Table[[#This Row],[Sale Eligilblity]],Sales_Table[Month],Analysis!AE21)</f>
        <v>12</v>
      </c>
      <c r="AJ21" s="67">
        <f t="shared" si="9"/>
        <v>-0.16157802582622016</v>
      </c>
      <c r="AM21" s="12"/>
      <c r="AN21" s="12"/>
      <c r="AO21" s="12"/>
      <c r="AP21" s="14" t="str">
        <v>O1009</v>
      </c>
      <c r="AQ21" s="14" t="str">
        <v>O1041</v>
      </c>
    </row>
    <row r="22" spans="31:43" x14ac:dyDescent="0.35">
      <c r="AE22" s="62" t="str">
        <v>Nov-26</v>
      </c>
      <c r="AF22" s="63">
        <f>SUMIFS(Sales_Table[Net Sale],Sales_Table[Sale Eligilblity],Sales_Table[[#This Row],[Sale Eligilblity]],Sales_Table[Month],Analysis!AE22)</f>
        <v>3266550</v>
      </c>
      <c r="AG22" s="65">
        <f>SUMIFS(Sales_Table[Profit],Sales_Table[Sale Eligilblity],Sales_Table[[#This Row],[Sale Eligilblity]],Sales_Table[Month],Analysis!AE22)</f>
        <v>620450</v>
      </c>
      <c r="AH22" s="29">
        <f>SUMIFS(Sales_Table[Quantity],Sales_Table[Month],Analysis!AE22,Sales_Table[Sale Eligilblity],Sales_Table[[#This Row],[Sale Eligilblity]])</f>
        <v>330</v>
      </c>
      <c r="AI22" s="29">
        <f>COUNTIFS(Sales_Table[Sale Eligilblity],Sales_Table[[#This Row],[Sale Eligilblity]],Sales_Table[Month],Analysis!AE22)</f>
        <v>12</v>
      </c>
      <c r="AJ22" s="67">
        <f t="shared" si="9"/>
        <v>6.5897670169027034E-2</v>
      </c>
      <c r="AM22" s="12"/>
      <c r="AN22" s="12"/>
      <c r="AO22" s="12"/>
      <c r="AP22" s="14" t="str">
        <v>O1010</v>
      </c>
      <c r="AQ22" s="14" t="str">
        <v>O1044</v>
      </c>
    </row>
    <row r="23" spans="31:43" x14ac:dyDescent="0.35">
      <c r="AE23" s="62" t="str">
        <v>Dec-26</v>
      </c>
      <c r="AF23" s="63">
        <f>SUMIFS(Sales_Table[Net Sale],Sales_Table[Sale Eligilblity],Sales_Table[[#This Row],[Sale Eligilblity]],Sales_Table[Month],Analysis!AE23)</f>
        <v>0</v>
      </c>
      <c r="AG23" s="65">
        <f>SUMIFS(Sales_Table[Profit],Sales_Table[Sale Eligilblity],Sales_Table[[#This Row],[Sale Eligilblity]],Sales_Table[Month],Analysis!AE23)</f>
        <v>0</v>
      </c>
      <c r="AH23" s="29">
        <f>SUMIFS(Sales_Table[Quantity],Sales_Table[Month],Analysis!AE23,Sales_Table[Sale Eligilblity],Sales_Table[[#This Row],[Sale Eligilblity]])</f>
        <v>0</v>
      </c>
      <c r="AI23" s="29">
        <f>COUNTIFS(Sales_Table[Sale Eligilblity],Sales_Table[[#This Row],[Sale Eligilblity]],Sales_Table[Month],Analysis!AE23)</f>
        <v>0</v>
      </c>
      <c r="AJ23" s="67">
        <f t="shared" si="9"/>
        <v>-1</v>
      </c>
      <c r="AM23" s="12"/>
      <c r="AN23" s="12"/>
      <c r="AO23" s="12"/>
      <c r="AP23" s="14" t="str">
        <v>O1011</v>
      </c>
      <c r="AQ23" s="14" t="str">
        <v>O1047</v>
      </c>
    </row>
    <row r="24" spans="31:43" x14ac:dyDescent="0.35">
      <c r="AM24" s="12"/>
      <c r="AN24" s="12"/>
      <c r="AO24" s="12"/>
      <c r="AP24" s="14" t="str">
        <v>O1012</v>
      </c>
      <c r="AQ24" s="14" t="str">
        <v>O1049</v>
      </c>
    </row>
    <row r="25" spans="31:43" x14ac:dyDescent="0.35">
      <c r="AM25" s="12"/>
      <c r="AN25" s="12"/>
      <c r="AO25" s="12"/>
      <c r="AP25" s="14" t="str">
        <v>O1013</v>
      </c>
      <c r="AQ25" s="14" t="str">
        <v>O1050</v>
      </c>
    </row>
    <row r="26" spans="31:43" x14ac:dyDescent="0.35">
      <c r="AM26" s="12"/>
      <c r="AN26" s="12"/>
      <c r="AO26" s="12"/>
      <c r="AP26" s="14" t="str">
        <v>O1014</v>
      </c>
      <c r="AQ26" s="14" t="str">
        <v>O1053</v>
      </c>
    </row>
    <row r="27" spans="31:43" x14ac:dyDescent="0.35">
      <c r="AM27" s="12"/>
      <c r="AN27" s="12"/>
      <c r="AO27" s="12"/>
      <c r="AP27" s="14" t="str">
        <v>O1016</v>
      </c>
      <c r="AQ27" s="14" t="str">
        <v>O1055</v>
      </c>
    </row>
    <row r="28" spans="31:43" x14ac:dyDescent="0.35">
      <c r="AM28" s="12"/>
      <c r="AN28" s="12"/>
      <c r="AO28" s="12"/>
      <c r="AP28" s="14" t="str">
        <v>O1017</v>
      </c>
      <c r="AQ28" s="14" t="str">
        <v>O1056</v>
      </c>
    </row>
    <row r="29" spans="31:43" x14ac:dyDescent="0.35">
      <c r="AM29" s="12"/>
      <c r="AN29" s="12"/>
      <c r="AO29" s="12"/>
      <c r="AP29" s="14" t="str">
        <v>O1018</v>
      </c>
      <c r="AQ29" s="14" t="str">
        <v>O1059</v>
      </c>
    </row>
    <row r="30" spans="31:43" x14ac:dyDescent="0.35">
      <c r="AM30" s="12"/>
      <c r="AN30" s="12"/>
      <c r="AO30" s="12"/>
      <c r="AP30" s="14" t="str">
        <v>O1019</v>
      </c>
      <c r="AQ30" s="14" t="str">
        <v>O1061</v>
      </c>
    </row>
    <row r="31" spans="31:43" x14ac:dyDescent="0.35">
      <c r="AM31" s="12"/>
      <c r="AN31" s="12"/>
      <c r="AO31" s="12"/>
      <c r="AP31" s="14" t="str">
        <v>O1020</v>
      </c>
      <c r="AQ31" s="14" t="str">
        <v>O1062</v>
      </c>
    </row>
    <row r="32" spans="31:43" x14ac:dyDescent="0.35">
      <c r="AM32" s="12"/>
      <c r="AN32" s="12"/>
      <c r="AO32" s="12"/>
      <c r="AP32" s="14" t="str">
        <v>O1021</v>
      </c>
      <c r="AQ32" s="14" t="str">
        <v>O1065</v>
      </c>
    </row>
    <row r="33" spans="39:43" x14ac:dyDescent="0.35">
      <c r="AM33" s="12"/>
      <c r="AN33" s="12"/>
      <c r="AO33" s="12"/>
      <c r="AP33" s="14" t="str">
        <v>O1023</v>
      </c>
      <c r="AQ33" s="14" t="str">
        <v>O1067</v>
      </c>
    </row>
    <row r="34" spans="39:43" x14ac:dyDescent="0.35">
      <c r="AM34" s="12"/>
      <c r="AN34" s="12"/>
      <c r="AO34" s="12"/>
      <c r="AP34" s="14" t="str">
        <v>O1024</v>
      </c>
      <c r="AQ34" s="14" t="str">
        <v>O1068</v>
      </c>
    </row>
    <row r="35" spans="39:43" x14ac:dyDescent="0.35">
      <c r="AM35" s="12"/>
      <c r="AN35" s="12"/>
      <c r="AO35" s="12"/>
      <c r="AP35" s="14" t="str">
        <v>O1025</v>
      </c>
      <c r="AQ35" s="14" t="str">
        <v>O1071</v>
      </c>
    </row>
    <row r="36" spans="39:43" x14ac:dyDescent="0.35">
      <c r="AM36" s="12"/>
      <c r="AN36" s="12"/>
      <c r="AO36" s="12"/>
      <c r="AP36" s="14" t="str">
        <v>O1026</v>
      </c>
      <c r="AQ36" s="14" t="str">
        <v>O1074</v>
      </c>
    </row>
    <row r="37" spans="39:43" x14ac:dyDescent="0.35">
      <c r="AM37" s="12"/>
      <c r="AN37" s="12"/>
      <c r="AO37" s="12"/>
      <c r="AP37" s="14" t="str">
        <v>O1027</v>
      </c>
      <c r="AQ37" s="14" t="str">
        <v>O1077</v>
      </c>
    </row>
    <row r="38" spans="39:43" x14ac:dyDescent="0.35">
      <c r="AM38" s="12"/>
      <c r="AN38" s="12"/>
      <c r="AO38" s="12"/>
      <c r="AP38" s="14" t="str">
        <v>O1028</v>
      </c>
      <c r="AQ38" s="14" t="str">
        <v>O1079</v>
      </c>
    </row>
    <row r="39" spans="39:43" x14ac:dyDescent="0.35">
      <c r="AM39" s="12"/>
      <c r="AN39" s="12"/>
      <c r="AO39" s="12"/>
      <c r="AP39" s="14" t="str">
        <v>O1029</v>
      </c>
      <c r="AQ39" s="14" t="str">
        <v>O1080</v>
      </c>
    </row>
    <row r="40" spans="39:43" x14ac:dyDescent="0.35">
      <c r="AM40" s="12"/>
      <c r="AN40" s="12"/>
      <c r="AO40" s="12"/>
      <c r="AP40" s="14" t="str">
        <v>O1030</v>
      </c>
      <c r="AQ40" s="14" t="str">
        <v>O1083</v>
      </c>
    </row>
    <row r="41" spans="39:43" x14ac:dyDescent="0.35">
      <c r="AM41" s="12"/>
      <c r="AN41" s="12"/>
      <c r="AO41" s="12"/>
      <c r="AP41" s="14" t="str">
        <v>O1031</v>
      </c>
      <c r="AQ41" s="14" t="str">
        <v>O1085</v>
      </c>
    </row>
    <row r="42" spans="39:43" x14ac:dyDescent="0.35">
      <c r="AM42" s="12"/>
      <c r="AN42" s="12"/>
      <c r="AO42" s="12"/>
      <c r="AP42" s="14" t="str">
        <v>O1032</v>
      </c>
      <c r="AQ42" s="14" t="str">
        <v>O1086</v>
      </c>
    </row>
    <row r="43" spans="39:43" x14ac:dyDescent="0.35">
      <c r="AM43" s="12"/>
      <c r="AN43" s="12"/>
      <c r="AO43" s="12"/>
      <c r="AP43" s="14" t="str">
        <v>O1033</v>
      </c>
      <c r="AQ43" s="14" t="str">
        <v>O1089</v>
      </c>
    </row>
    <row r="44" spans="39:43" x14ac:dyDescent="0.35">
      <c r="AM44" s="12"/>
      <c r="AN44" s="12"/>
      <c r="AO44" s="12"/>
      <c r="AP44" s="14" t="str">
        <v>O1034</v>
      </c>
      <c r="AQ44" s="14" t="str">
        <v>O1091</v>
      </c>
    </row>
    <row r="45" spans="39:43" x14ac:dyDescent="0.35">
      <c r="AM45" s="12"/>
      <c r="AN45" s="12"/>
      <c r="AO45" s="12"/>
      <c r="AP45" s="14" t="str">
        <v>O1035</v>
      </c>
      <c r="AQ45" s="14" t="str">
        <v>O1092</v>
      </c>
    </row>
    <row r="46" spans="39:43" x14ac:dyDescent="0.35">
      <c r="AM46" s="12"/>
      <c r="AN46" s="12"/>
      <c r="AO46" s="12"/>
      <c r="AP46" s="14" t="str">
        <v>O1036</v>
      </c>
      <c r="AQ46" s="14" t="str">
        <v>O1095</v>
      </c>
    </row>
    <row r="47" spans="39:43" x14ac:dyDescent="0.35">
      <c r="AM47" s="12"/>
      <c r="AN47" s="12"/>
      <c r="AO47" s="12"/>
      <c r="AP47" s="14" t="str">
        <v>O1037</v>
      </c>
      <c r="AQ47" s="14" t="str">
        <v>O1097</v>
      </c>
    </row>
    <row r="48" spans="39:43" x14ac:dyDescent="0.35">
      <c r="AM48" s="12"/>
      <c r="AN48" s="12"/>
      <c r="AO48" s="12"/>
      <c r="AP48" s="14" t="str">
        <v>O1038</v>
      </c>
      <c r="AQ48" s="14" t="str">
        <v>O1098</v>
      </c>
    </row>
    <row r="49" spans="39:43" x14ac:dyDescent="0.35">
      <c r="AM49" s="12"/>
      <c r="AN49" s="12"/>
      <c r="AO49" s="12"/>
      <c r="AP49" s="14" t="str">
        <v>O1039</v>
      </c>
      <c r="AQ49" s="14" t="str">
        <v>O1101</v>
      </c>
    </row>
    <row r="50" spans="39:43" x14ac:dyDescent="0.35">
      <c r="AM50" s="12"/>
      <c r="AN50" s="12"/>
      <c r="AO50" s="12"/>
      <c r="AP50" s="14" t="str">
        <v>O1040</v>
      </c>
      <c r="AQ50" s="14" t="str">
        <v>O1103</v>
      </c>
    </row>
    <row r="51" spans="39:43" x14ac:dyDescent="0.35">
      <c r="AM51" s="12"/>
      <c r="AN51" s="12"/>
      <c r="AO51" s="12"/>
      <c r="AP51" s="14" t="str">
        <v>O1041</v>
      </c>
      <c r="AQ51" s="14" t="str">
        <v>O1104</v>
      </c>
    </row>
    <row r="52" spans="39:43" x14ac:dyDescent="0.35">
      <c r="AM52" s="12"/>
      <c r="AN52" s="12"/>
      <c r="AO52" s="12"/>
      <c r="AP52" s="14" t="str">
        <v>O1042</v>
      </c>
      <c r="AQ52" s="14" t="str">
        <v>O1107</v>
      </c>
    </row>
    <row r="53" spans="39:43" x14ac:dyDescent="0.35">
      <c r="AM53" s="12"/>
      <c r="AN53" s="12"/>
      <c r="AO53" s="12"/>
      <c r="AP53" s="14" t="str">
        <v>O1043</v>
      </c>
      <c r="AQ53" s="14" t="str">
        <v>O1109</v>
      </c>
    </row>
    <row r="54" spans="39:43" x14ac:dyDescent="0.35">
      <c r="AM54" s="12"/>
      <c r="AN54" s="12"/>
      <c r="AO54" s="12"/>
      <c r="AP54" s="14" t="str">
        <v>O1044</v>
      </c>
      <c r="AQ54" s="14" t="str">
        <v>O1110</v>
      </c>
    </row>
    <row r="55" spans="39:43" x14ac:dyDescent="0.35">
      <c r="AM55" s="12"/>
      <c r="AN55" s="12"/>
      <c r="AO55" s="12"/>
      <c r="AP55" s="14" t="str">
        <v>O1045</v>
      </c>
      <c r="AQ55" s="14" t="str">
        <v>O1113</v>
      </c>
    </row>
    <row r="56" spans="39:43" x14ac:dyDescent="0.35">
      <c r="AM56" s="12"/>
      <c r="AN56" s="12"/>
      <c r="AO56" s="12"/>
      <c r="AP56" s="14" t="str">
        <v>O1046</v>
      </c>
      <c r="AQ56" s="14" t="str">
        <v>O1115</v>
      </c>
    </row>
    <row r="57" spans="39:43" x14ac:dyDescent="0.35">
      <c r="AM57" s="12"/>
      <c r="AN57" s="12"/>
      <c r="AO57" s="12"/>
      <c r="AP57" s="14" t="str">
        <v>O1047</v>
      </c>
      <c r="AQ57" s="14" t="str">
        <v>O1116</v>
      </c>
    </row>
    <row r="58" spans="39:43" x14ac:dyDescent="0.35">
      <c r="AM58" s="12"/>
      <c r="AN58" s="12"/>
      <c r="AO58" s="12"/>
      <c r="AP58" s="14" t="str">
        <v>O1048</v>
      </c>
      <c r="AQ58" s="14" t="str">
        <v>O1119</v>
      </c>
    </row>
    <row r="59" spans="39:43" x14ac:dyDescent="0.35">
      <c r="AM59" s="12"/>
      <c r="AN59" s="12"/>
      <c r="AO59" s="12"/>
      <c r="AP59" s="14" t="str">
        <v>O1049</v>
      </c>
      <c r="AQ59" s="12"/>
    </row>
    <row r="60" spans="39:43" x14ac:dyDescent="0.35">
      <c r="AM60" s="12"/>
      <c r="AN60" s="12"/>
      <c r="AO60" s="12"/>
      <c r="AP60" s="14" t="str">
        <v>O1050</v>
      </c>
      <c r="AQ60" s="12"/>
    </row>
    <row r="61" spans="39:43" x14ac:dyDescent="0.35">
      <c r="AM61" s="12"/>
      <c r="AN61" s="12"/>
      <c r="AO61" s="12"/>
      <c r="AP61" s="14" t="str">
        <v>O1051</v>
      </c>
      <c r="AQ61" s="12"/>
    </row>
    <row r="62" spans="39:43" x14ac:dyDescent="0.35">
      <c r="AM62" s="12"/>
      <c r="AN62" s="12"/>
      <c r="AO62" s="12"/>
      <c r="AP62" s="14" t="str">
        <v>O1052</v>
      </c>
      <c r="AQ62" s="12"/>
    </row>
    <row r="63" spans="39:43" x14ac:dyDescent="0.35">
      <c r="AM63" s="12"/>
      <c r="AN63" s="12"/>
      <c r="AO63" s="12"/>
      <c r="AP63" s="14" t="str">
        <v>O1053</v>
      </c>
      <c r="AQ63" s="12"/>
    </row>
    <row r="64" spans="39:43" x14ac:dyDescent="0.35">
      <c r="AM64" s="12"/>
      <c r="AN64" s="12"/>
      <c r="AO64" s="12"/>
      <c r="AP64" s="14" t="str">
        <v>O1054</v>
      </c>
      <c r="AQ64" s="12"/>
    </row>
    <row r="65" spans="39:43" x14ac:dyDescent="0.35">
      <c r="AM65" s="12"/>
      <c r="AN65" s="12"/>
      <c r="AO65" s="12"/>
      <c r="AP65" s="14" t="str">
        <v>O1056</v>
      </c>
      <c r="AQ65" s="12"/>
    </row>
    <row r="66" spans="39:43" x14ac:dyDescent="0.35">
      <c r="AM66" s="12"/>
      <c r="AN66" s="12"/>
      <c r="AO66" s="12"/>
      <c r="AP66" s="14" t="str">
        <v>O1057</v>
      </c>
      <c r="AQ66" s="12"/>
    </row>
    <row r="67" spans="39:43" x14ac:dyDescent="0.35">
      <c r="AM67" s="12"/>
      <c r="AN67" s="12"/>
      <c r="AO67" s="12"/>
      <c r="AP67" s="14" t="str">
        <v>O1058</v>
      </c>
      <c r="AQ67" s="12"/>
    </row>
    <row r="68" spans="39:43" x14ac:dyDescent="0.35">
      <c r="AM68" s="12"/>
      <c r="AN68" s="12"/>
      <c r="AO68" s="12"/>
      <c r="AP68" s="14" t="str">
        <v>O1059</v>
      </c>
      <c r="AQ68" s="12"/>
    </row>
    <row r="69" spans="39:43" x14ac:dyDescent="0.35">
      <c r="AM69" s="12"/>
      <c r="AN69" s="12"/>
      <c r="AO69" s="12"/>
      <c r="AP69" s="14" t="str">
        <v>O1060</v>
      </c>
      <c r="AQ69" s="12"/>
    </row>
    <row r="70" spans="39:43" x14ac:dyDescent="0.35">
      <c r="AM70" s="12"/>
      <c r="AN70" s="12"/>
      <c r="AO70" s="12"/>
      <c r="AP70" s="14" t="str">
        <v>O1061</v>
      </c>
      <c r="AQ70" s="12"/>
    </row>
    <row r="71" spans="39:43" x14ac:dyDescent="0.35">
      <c r="AM71" s="12"/>
      <c r="AN71" s="12"/>
      <c r="AO71" s="12"/>
      <c r="AP71" s="14" t="str">
        <v>O1062</v>
      </c>
      <c r="AQ71" s="12"/>
    </row>
    <row r="72" spans="39:43" x14ac:dyDescent="0.35">
      <c r="AM72" s="12"/>
      <c r="AN72" s="12"/>
      <c r="AO72" s="12"/>
      <c r="AP72" s="14" t="str">
        <v>O1063</v>
      </c>
      <c r="AQ72" s="12"/>
    </row>
    <row r="73" spans="39:43" x14ac:dyDescent="0.35">
      <c r="AM73" s="12"/>
      <c r="AN73" s="12"/>
      <c r="AO73" s="12"/>
      <c r="AP73" s="14" t="str">
        <v>O1064</v>
      </c>
      <c r="AQ73" s="12"/>
    </row>
    <row r="74" spans="39:43" x14ac:dyDescent="0.35">
      <c r="AM74" s="12"/>
      <c r="AN74" s="12"/>
      <c r="AO74" s="12"/>
      <c r="AP74" s="14" t="str">
        <v>O1065</v>
      </c>
      <c r="AQ74" s="12"/>
    </row>
    <row r="75" spans="39:43" x14ac:dyDescent="0.35">
      <c r="AM75" s="12"/>
      <c r="AN75" s="12"/>
      <c r="AO75" s="12"/>
      <c r="AP75" s="14" t="str">
        <v>O1066</v>
      </c>
      <c r="AQ75" s="12"/>
    </row>
    <row r="76" spans="39:43" x14ac:dyDescent="0.35">
      <c r="AM76" s="12"/>
      <c r="AN76" s="12"/>
      <c r="AO76" s="12"/>
      <c r="AP76" s="14" t="str">
        <v>O1067</v>
      </c>
      <c r="AQ76" s="12"/>
    </row>
    <row r="77" spans="39:43" x14ac:dyDescent="0.35">
      <c r="AM77" s="12"/>
      <c r="AN77" s="12"/>
      <c r="AO77" s="12"/>
      <c r="AP77" s="14" t="str">
        <v>O1068</v>
      </c>
      <c r="AQ77" s="12"/>
    </row>
    <row r="78" spans="39:43" x14ac:dyDescent="0.35">
      <c r="AM78" s="12"/>
      <c r="AN78" s="12"/>
      <c r="AO78" s="12"/>
      <c r="AP78" s="14" t="str">
        <v>O1069</v>
      </c>
      <c r="AQ78" s="12"/>
    </row>
    <row r="79" spans="39:43" x14ac:dyDescent="0.35">
      <c r="AM79" s="12"/>
      <c r="AN79" s="12"/>
      <c r="AO79" s="12"/>
      <c r="AP79" s="14" t="str">
        <v>O1070</v>
      </c>
      <c r="AQ79" s="12"/>
    </row>
    <row r="80" spans="39:43" x14ac:dyDescent="0.35">
      <c r="AM80" s="12"/>
      <c r="AN80" s="12"/>
      <c r="AO80" s="12"/>
      <c r="AP80" s="14" t="str">
        <v>O1071</v>
      </c>
      <c r="AQ80" s="12"/>
    </row>
    <row r="81" spans="39:43" x14ac:dyDescent="0.35">
      <c r="AM81" s="12"/>
      <c r="AN81" s="12"/>
      <c r="AO81" s="12"/>
      <c r="AP81" s="14" t="str">
        <v>O1072</v>
      </c>
      <c r="AQ81" s="12"/>
    </row>
    <row r="82" spans="39:43" x14ac:dyDescent="0.35">
      <c r="AM82" s="12"/>
      <c r="AN82" s="12"/>
      <c r="AO82" s="12"/>
      <c r="AP82" s="14" t="str">
        <v>O1073</v>
      </c>
      <c r="AQ82" s="12"/>
    </row>
    <row r="83" spans="39:43" x14ac:dyDescent="0.35">
      <c r="AM83" s="12"/>
      <c r="AN83" s="12"/>
      <c r="AO83" s="12"/>
      <c r="AP83" s="14" t="str">
        <v>O1074</v>
      </c>
      <c r="AQ83" s="12"/>
    </row>
    <row r="84" spans="39:43" x14ac:dyDescent="0.35">
      <c r="AM84" s="12"/>
      <c r="AN84" s="12"/>
      <c r="AO84" s="12"/>
      <c r="AP84" s="14" t="str">
        <v>O1075</v>
      </c>
      <c r="AQ84" s="12"/>
    </row>
    <row r="85" spans="39:43" x14ac:dyDescent="0.35">
      <c r="AM85" s="12"/>
      <c r="AN85" s="12"/>
      <c r="AO85" s="12"/>
      <c r="AP85" s="14" t="str">
        <v>O1076</v>
      </c>
      <c r="AQ85" s="12"/>
    </row>
    <row r="86" spans="39:43" x14ac:dyDescent="0.35">
      <c r="AM86" s="12"/>
      <c r="AN86" s="12"/>
      <c r="AO86" s="12"/>
      <c r="AP86" s="14" t="str">
        <v>O1077</v>
      </c>
      <c r="AQ86" s="12"/>
    </row>
    <row r="87" spans="39:43" x14ac:dyDescent="0.35">
      <c r="AM87" s="12"/>
      <c r="AN87" s="12"/>
      <c r="AO87" s="12"/>
      <c r="AP87" s="14" t="str">
        <v>O1078</v>
      </c>
      <c r="AQ87" s="12"/>
    </row>
    <row r="88" spans="39:43" x14ac:dyDescent="0.35">
      <c r="AM88" s="12"/>
      <c r="AN88" s="12"/>
      <c r="AO88" s="12"/>
      <c r="AP88" s="14" t="str">
        <v>O1079</v>
      </c>
      <c r="AQ88" s="12"/>
    </row>
    <row r="89" spans="39:43" x14ac:dyDescent="0.35">
      <c r="AM89" s="12"/>
      <c r="AN89" s="12"/>
      <c r="AO89" s="12"/>
      <c r="AP89" s="14" t="str">
        <v>O1080</v>
      </c>
      <c r="AQ89" s="12"/>
    </row>
    <row r="90" spans="39:43" x14ac:dyDescent="0.35">
      <c r="AM90" s="12"/>
      <c r="AN90" s="12"/>
      <c r="AO90" s="12"/>
      <c r="AP90" s="14" t="str">
        <v>O1081</v>
      </c>
      <c r="AQ90" s="12"/>
    </row>
    <row r="91" spans="39:43" x14ac:dyDescent="0.35">
      <c r="AM91" s="12"/>
      <c r="AN91" s="12"/>
      <c r="AO91" s="12"/>
      <c r="AP91" s="14" t="str">
        <v>O1082</v>
      </c>
      <c r="AQ91" s="12"/>
    </row>
    <row r="92" spans="39:43" x14ac:dyDescent="0.35">
      <c r="AM92" s="12"/>
      <c r="AN92" s="12"/>
      <c r="AO92" s="12"/>
      <c r="AP92" s="14" t="str">
        <v>O1083</v>
      </c>
      <c r="AQ92" s="12"/>
    </row>
    <row r="93" spans="39:43" x14ac:dyDescent="0.35">
      <c r="AM93" s="12"/>
      <c r="AN93" s="12"/>
      <c r="AO93" s="12"/>
      <c r="AP93" s="14" t="str">
        <v>O1084</v>
      </c>
      <c r="AQ93" s="12"/>
    </row>
    <row r="94" spans="39:43" x14ac:dyDescent="0.35">
      <c r="AM94" s="12"/>
      <c r="AN94" s="12"/>
      <c r="AO94" s="12"/>
      <c r="AP94" s="14" t="str">
        <v>O1085</v>
      </c>
      <c r="AQ94" s="12"/>
    </row>
    <row r="95" spans="39:43" x14ac:dyDescent="0.35">
      <c r="AM95" s="12"/>
      <c r="AN95" s="12"/>
      <c r="AO95" s="12"/>
      <c r="AP95" s="14" t="str">
        <v>O1086</v>
      </c>
      <c r="AQ95" s="12"/>
    </row>
    <row r="96" spans="39:43" x14ac:dyDescent="0.35">
      <c r="AM96" s="12"/>
      <c r="AN96" s="12"/>
      <c r="AO96" s="12"/>
      <c r="AP96" s="14" t="str">
        <v>O1087</v>
      </c>
      <c r="AQ96" s="12"/>
    </row>
    <row r="97" spans="39:43" x14ac:dyDescent="0.35">
      <c r="AM97" s="12"/>
      <c r="AN97" s="12"/>
      <c r="AO97" s="12"/>
      <c r="AP97" s="14" t="str">
        <v>O1088</v>
      </c>
      <c r="AQ97" s="12"/>
    </row>
    <row r="98" spans="39:43" x14ac:dyDescent="0.35">
      <c r="AM98" s="12"/>
      <c r="AN98" s="12"/>
      <c r="AO98" s="12"/>
      <c r="AP98" s="14" t="str">
        <v>O1089</v>
      </c>
      <c r="AQ98" s="12"/>
    </row>
    <row r="99" spans="39:43" x14ac:dyDescent="0.35">
      <c r="AM99" s="12"/>
      <c r="AN99" s="12"/>
      <c r="AO99" s="12"/>
      <c r="AP99" s="14" t="str">
        <v>O1090</v>
      </c>
      <c r="AQ99" s="12"/>
    </row>
    <row r="100" spans="39:43" x14ac:dyDescent="0.35">
      <c r="AM100" s="12"/>
      <c r="AN100" s="12"/>
      <c r="AO100" s="12"/>
      <c r="AP100" s="14" t="str">
        <v>O1091</v>
      </c>
      <c r="AQ100" s="12"/>
    </row>
    <row r="101" spans="39:43" x14ac:dyDescent="0.35">
      <c r="AM101" s="12"/>
      <c r="AN101" s="12"/>
      <c r="AO101" s="12"/>
      <c r="AP101" s="14" t="str">
        <v>O1092</v>
      </c>
      <c r="AQ101" s="12"/>
    </row>
    <row r="102" spans="39:43" x14ac:dyDescent="0.35">
      <c r="AM102" s="12"/>
      <c r="AN102" s="12"/>
      <c r="AO102" s="12"/>
      <c r="AP102" s="14" t="str">
        <v>O1093</v>
      </c>
      <c r="AQ102" s="12"/>
    </row>
    <row r="103" spans="39:43" x14ac:dyDescent="0.35">
      <c r="AM103" s="12"/>
      <c r="AN103" s="12"/>
      <c r="AO103" s="12"/>
      <c r="AP103" s="14" t="str">
        <v>O1094</v>
      </c>
      <c r="AQ103" s="12"/>
    </row>
    <row r="104" spans="39:43" x14ac:dyDescent="0.35">
      <c r="AM104" s="12"/>
      <c r="AN104" s="12"/>
      <c r="AO104" s="12"/>
      <c r="AP104" s="14" t="str">
        <v>O1095</v>
      </c>
      <c r="AQ104" s="12"/>
    </row>
    <row r="105" spans="39:43" x14ac:dyDescent="0.35">
      <c r="AM105" s="12"/>
      <c r="AN105" s="12"/>
      <c r="AO105" s="12"/>
      <c r="AP105" s="14" t="str">
        <v>O1096</v>
      </c>
      <c r="AQ105" s="12"/>
    </row>
    <row r="106" spans="39:43" x14ac:dyDescent="0.35">
      <c r="AM106" s="12"/>
      <c r="AN106" s="12"/>
      <c r="AO106" s="12"/>
      <c r="AP106" s="14" t="str">
        <v>O1097</v>
      </c>
      <c r="AQ106" s="12"/>
    </row>
    <row r="107" spans="39:43" x14ac:dyDescent="0.35">
      <c r="AM107" s="12"/>
      <c r="AN107" s="12"/>
      <c r="AO107" s="12"/>
      <c r="AP107" s="14" t="str">
        <v>O1098</v>
      </c>
      <c r="AQ107" s="12"/>
    </row>
    <row r="108" spans="39:43" x14ac:dyDescent="0.35">
      <c r="AM108" s="12"/>
      <c r="AN108" s="12"/>
      <c r="AO108" s="12"/>
      <c r="AP108" s="14" t="str">
        <v>O1099</v>
      </c>
      <c r="AQ108" s="12"/>
    </row>
    <row r="109" spans="39:43" x14ac:dyDescent="0.35">
      <c r="AM109" s="12"/>
      <c r="AN109" s="12"/>
      <c r="AO109" s="12"/>
      <c r="AP109" s="14" t="str">
        <v>O1100</v>
      </c>
      <c r="AQ109" s="12"/>
    </row>
    <row r="110" spans="39:43" x14ac:dyDescent="0.35">
      <c r="AM110" s="12"/>
      <c r="AN110" s="12"/>
      <c r="AO110" s="12"/>
      <c r="AP110" s="14" t="str">
        <v>O1101</v>
      </c>
      <c r="AQ110" s="12"/>
    </row>
    <row r="111" spans="39:43" x14ac:dyDescent="0.35">
      <c r="AM111" s="12"/>
      <c r="AN111" s="12"/>
      <c r="AO111" s="12"/>
      <c r="AP111" s="14" t="str">
        <v>O1102</v>
      </c>
      <c r="AQ111" s="12"/>
    </row>
    <row r="112" spans="39:43" x14ac:dyDescent="0.35">
      <c r="AM112" s="12"/>
      <c r="AN112" s="12"/>
      <c r="AO112" s="12"/>
      <c r="AP112" s="14" t="str">
        <v>O1103</v>
      </c>
      <c r="AQ112" s="12"/>
    </row>
    <row r="113" spans="39:43" x14ac:dyDescent="0.35">
      <c r="AM113" s="12"/>
      <c r="AN113" s="12"/>
      <c r="AO113" s="12"/>
      <c r="AP113" s="14" t="str">
        <v>O1104</v>
      </c>
      <c r="AQ113" s="12"/>
    </row>
    <row r="114" spans="39:43" x14ac:dyDescent="0.35">
      <c r="AM114" s="12"/>
      <c r="AN114" s="12"/>
      <c r="AO114" s="12"/>
      <c r="AP114" s="14" t="str">
        <v>O1105</v>
      </c>
      <c r="AQ114" s="12"/>
    </row>
    <row r="115" spans="39:43" x14ac:dyDescent="0.35">
      <c r="AM115" s="12"/>
      <c r="AN115" s="12"/>
      <c r="AO115" s="12"/>
      <c r="AP115" s="14" t="str">
        <v>O1106</v>
      </c>
      <c r="AQ115" s="12"/>
    </row>
    <row r="116" spans="39:43" x14ac:dyDescent="0.35">
      <c r="AM116" s="12"/>
      <c r="AN116" s="12"/>
      <c r="AO116" s="12"/>
      <c r="AP116" s="14" t="str">
        <v>O1107</v>
      </c>
      <c r="AQ116" s="12"/>
    </row>
    <row r="117" spans="39:43" x14ac:dyDescent="0.35">
      <c r="AM117" s="12"/>
      <c r="AN117" s="12"/>
      <c r="AO117" s="12"/>
      <c r="AP117" s="14" t="str">
        <v>O1108</v>
      </c>
      <c r="AQ117" s="12"/>
    </row>
    <row r="118" spans="39:43" x14ac:dyDescent="0.35">
      <c r="AM118" s="12"/>
      <c r="AN118" s="12"/>
      <c r="AO118" s="12"/>
      <c r="AP118" s="14" t="str">
        <v>O1109</v>
      </c>
      <c r="AQ118" s="12"/>
    </row>
    <row r="119" spans="39:43" x14ac:dyDescent="0.35">
      <c r="AM119" s="12"/>
      <c r="AN119" s="12"/>
      <c r="AO119" s="12"/>
      <c r="AP119" s="14" t="str">
        <v>O1110</v>
      </c>
      <c r="AQ119" s="12"/>
    </row>
    <row r="120" spans="39:43" x14ac:dyDescent="0.35">
      <c r="AM120" s="12"/>
      <c r="AN120" s="12"/>
      <c r="AO120" s="12"/>
      <c r="AP120" s="14" t="str">
        <v>O1111</v>
      </c>
      <c r="AQ120" s="12"/>
    </row>
    <row r="121" spans="39:43" x14ac:dyDescent="0.35">
      <c r="AM121" s="12"/>
      <c r="AN121" s="12"/>
      <c r="AO121" s="12"/>
      <c r="AP121" s="14" t="str">
        <v>O1112</v>
      </c>
      <c r="AQ121" s="12"/>
    </row>
    <row r="122" spans="39:43" x14ac:dyDescent="0.35">
      <c r="AM122" s="12"/>
      <c r="AN122" s="12"/>
      <c r="AO122" s="12"/>
      <c r="AP122" s="14" t="str">
        <v>O1113</v>
      </c>
      <c r="AQ122" s="12"/>
    </row>
    <row r="123" spans="39:43" x14ac:dyDescent="0.35">
      <c r="AM123" s="12"/>
      <c r="AN123" s="12"/>
      <c r="AO123" s="12"/>
      <c r="AP123" s="14" t="str">
        <v>O1114</v>
      </c>
      <c r="AQ123" s="12"/>
    </row>
    <row r="124" spans="39:43" x14ac:dyDescent="0.35">
      <c r="AM124" s="12"/>
      <c r="AN124" s="12"/>
      <c r="AO124" s="12"/>
      <c r="AP124" s="14" t="str">
        <v>O1115</v>
      </c>
      <c r="AQ124" s="12"/>
    </row>
    <row r="125" spans="39:43" x14ac:dyDescent="0.35">
      <c r="AM125" s="12"/>
      <c r="AN125" s="12"/>
      <c r="AO125" s="12"/>
      <c r="AP125" s="14" t="str">
        <v>O1116</v>
      </c>
      <c r="AQ125" s="12"/>
    </row>
    <row r="126" spans="39:43" x14ac:dyDescent="0.35">
      <c r="AM126" s="12"/>
      <c r="AN126" s="12"/>
      <c r="AO126" s="12"/>
      <c r="AP126" s="14" t="str">
        <v>O1117</v>
      </c>
      <c r="AQ126" s="12"/>
    </row>
    <row r="127" spans="39:43" x14ac:dyDescent="0.35">
      <c r="AM127" s="12"/>
      <c r="AN127" s="12"/>
      <c r="AO127" s="12"/>
      <c r="AP127" s="14" t="str">
        <v>O1118</v>
      </c>
      <c r="AQ127" s="12"/>
    </row>
    <row r="128" spans="39:43" x14ac:dyDescent="0.35">
      <c r="AM128" s="12"/>
      <c r="AN128" s="12"/>
      <c r="AO128" s="12"/>
      <c r="AP128" s="14" t="str">
        <v>O1119</v>
      </c>
      <c r="AQ128" s="12"/>
    </row>
    <row r="129" spans="39:43" x14ac:dyDescent="0.35">
      <c r="AM129" s="12"/>
      <c r="AN129" s="12"/>
      <c r="AO129" s="12"/>
      <c r="AP129" s="14" t="str">
        <v>O1120</v>
      </c>
      <c r="AQ129" s="12"/>
    </row>
  </sheetData>
  <mergeCells count="14">
    <mergeCell ref="A2:B2"/>
    <mergeCell ref="AO3:AQ3"/>
    <mergeCell ref="AO4:AQ4"/>
    <mergeCell ref="I2:M2"/>
    <mergeCell ref="D2:G2"/>
    <mergeCell ref="U2:Z2"/>
    <mergeCell ref="O2:S2"/>
    <mergeCell ref="AI2:AJ2"/>
    <mergeCell ref="AC2:AG2"/>
    <mergeCell ref="AO9:AP9"/>
    <mergeCell ref="AO6:AQ6"/>
    <mergeCell ref="AO7:AQ7"/>
    <mergeCell ref="AO8:AQ8"/>
    <mergeCell ref="AO5:AQ5"/>
  </mergeCells>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DAB54-057F-436B-9DB6-50B9AB98BD26}">
  <sheetPr>
    <tabColor theme="1"/>
  </sheetPr>
  <dimension ref="A1:I28"/>
  <sheetViews>
    <sheetView workbookViewId="0">
      <selection activeCell="G5" sqref="G5"/>
    </sheetView>
  </sheetViews>
  <sheetFormatPr defaultRowHeight="14.5" x14ac:dyDescent="0.35"/>
  <cols>
    <col min="1" max="1" width="14" bestFit="1" customWidth="1"/>
    <col min="2" max="2" width="18.36328125" bestFit="1" customWidth="1"/>
    <col min="3" max="3" width="15.54296875" bestFit="1" customWidth="1"/>
    <col min="4" max="4" width="13.26953125" bestFit="1" customWidth="1"/>
    <col min="6" max="6" width="14" bestFit="1" customWidth="1"/>
    <col min="7" max="7" width="16.1796875" bestFit="1" customWidth="1"/>
    <col min="8" max="8" width="15.54296875" bestFit="1" customWidth="1"/>
    <col min="9" max="9" width="13.26953125" bestFit="1" customWidth="1"/>
    <col min="10" max="29" width="15.6328125" bestFit="1" customWidth="1"/>
    <col min="30" max="30" width="16.08984375" bestFit="1" customWidth="1"/>
    <col min="31" max="31" width="18.54296875" bestFit="1" customWidth="1"/>
    <col min="32" max="245" width="15.6328125" bestFit="1" customWidth="1"/>
    <col min="246" max="246" width="16.08984375" bestFit="1" customWidth="1"/>
    <col min="247" max="247" width="18.54296875" bestFit="1" customWidth="1"/>
  </cols>
  <sheetData>
    <row r="1" spans="1:9" ht="15.5" x14ac:dyDescent="0.35">
      <c r="A1" s="38" t="s">
        <v>225</v>
      </c>
      <c r="B1" s="20" t="s" vm="1">
        <v>296</v>
      </c>
      <c r="C1" s="19"/>
      <c r="D1" s="19"/>
    </row>
    <row r="2" spans="1:9" ht="21" x14ac:dyDescent="0.5">
      <c r="A2" s="82" t="s">
        <v>324</v>
      </c>
      <c r="B2" s="82"/>
      <c r="C2" s="82"/>
      <c r="D2" s="82"/>
      <c r="F2" s="84" t="s">
        <v>325</v>
      </c>
      <c r="G2" s="84"/>
      <c r="H2" s="84"/>
      <c r="I2" s="84"/>
    </row>
    <row r="3" spans="1:9" ht="15.5" x14ac:dyDescent="0.35">
      <c r="A3" s="38" t="s">
        <v>306</v>
      </c>
      <c r="B3" s="20" t="s">
        <v>308</v>
      </c>
      <c r="C3" s="20" t="s">
        <v>309</v>
      </c>
      <c r="D3" s="20" t="s">
        <v>310</v>
      </c>
      <c r="F3" s="38" t="s">
        <v>306</v>
      </c>
      <c r="G3" s="20" t="s">
        <v>308</v>
      </c>
      <c r="H3" s="20" t="s">
        <v>309</v>
      </c>
      <c r="I3" s="20" t="s">
        <v>310</v>
      </c>
    </row>
    <row r="4" spans="1:9" ht="15.5" x14ac:dyDescent="0.35">
      <c r="A4" s="39" t="s">
        <v>28</v>
      </c>
      <c r="B4" s="23">
        <v>458</v>
      </c>
      <c r="C4" s="35">
        <v>6273500</v>
      </c>
      <c r="D4" s="35">
        <v>1066000</v>
      </c>
      <c r="F4" s="39" t="s">
        <v>182</v>
      </c>
      <c r="G4" s="23">
        <v>444</v>
      </c>
      <c r="H4" s="35">
        <v>3371040</v>
      </c>
      <c r="I4" s="40">
        <v>1062240</v>
      </c>
    </row>
    <row r="5" spans="1:9" ht="15.5" x14ac:dyDescent="0.35">
      <c r="A5" s="39" t="s">
        <v>22</v>
      </c>
      <c r="B5" s="23">
        <v>764</v>
      </c>
      <c r="C5" s="35">
        <v>6817500</v>
      </c>
      <c r="D5" s="35">
        <v>1443100</v>
      </c>
      <c r="F5" s="39" t="s">
        <v>175</v>
      </c>
      <c r="G5" s="23">
        <v>650</v>
      </c>
      <c r="H5" s="35">
        <v>3067700</v>
      </c>
      <c r="I5" s="40">
        <v>792700</v>
      </c>
    </row>
    <row r="6" spans="1:9" ht="15.5" x14ac:dyDescent="0.35">
      <c r="A6" s="39" t="s">
        <v>15</v>
      </c>
      <c r="B6" s="23">
        <v>487</v>
      </c>
      <c r="C6" s="35">
        <v>7549900</v>
      </c>
      <c r="D6" s="35">
        <v>1222400</v>
      </c>
      <c r="F6" s="39" t="s">
        <v>169</v>
      </c>
      <c r="G6" s="23">
        <v>120</v>
      </c>
      <c r="H6" s="35">
        <v>5369000</v>
      </c>
      <c r="I6" s="40">
        <v>689000</v>
      </c>
    </row>
    <row r="7" spans="1:9" ht="15.5" x14ac:dyDescent="0.35">
      <c r="A7" s="39" t="s">
        <v>34</v>
      </c>
      <c r="B7" s="23">
        <v>811</v>
      </c>
      <c r="C7" s="35">
        <v>5235540</v>
      </c>
      <c r="D7" s="35">
        <v>1243540</v>
      </c>
      <c r="F7" s="39" t="s">
        <v>172</v>
      </c>
      <c r="G7" s="23">
        <v>312</v>
      </c>
      <c r="H7" s="35">
        <v>6904000</v>
      </c>
      <c r="I7" s="40">
        <v>976000</v>
      </c>
    </row>
    <row r="8" spans="1:9" ht="15.5" x14ac:dyDescent="0.35">
      <c r="A8" s="39" t="s">
        <v>307</v>
      </c>
      <c r="B8" s="23">
        <v>2520</v>
      </c>
      <c r="C8" s="35">
        <v>25876440</v>
      </c>
      <c r="D8" s="35">
        <v>4975040</v>
      </c>
      <c r="F8" s="39" t="s">
        <v>178</v>
      </c>
      <c r="G8" s="23">
        <v>868</v>
      </c>
      <c r="H8" s="35">
        <v>1736000</v>
      </c>
      <c r="I8" s="40">
        <v>694400</v>
      </c>
    </row>
    <row r="9" spans="1:9" ht="15.5" x14ac:dyDescent="0.35">
      <c r="F9" s="39" t="s">
        <v>179</v>
      </c>
      <c r="G9" s="23">
        <v>184</v>
      </c>
      <c r="H9" s="35">
        <v>5814200</v>
      </c>
      <c r="I9" s="40">
        <v>846200</v>
      </c>
    </row>
    <row r="10" spans="1:9" ht="15.5" x14ac:dyDescent="0.35">
      <c r="F10" s="39" t="s">
        <v>307</v>
      </c>
      <c r="G10" s="23">
        <v>2578</v>
      </c>
      <c r="H10" s="35">
        <v>26261940</v>
      </c>
      <c r="I10" s="40">
        <v>5060540</v>
      </c>
    </row>
    <row r="11" spans="1:9" ht="19" x14ac:dyDescent="0.4">
      <c r="A11" s="83" t="s">
        <v>326</v>
      </c>
      <c r="B11" s="83"/>
      <c r="C11" s="83"/>
    </row>
    <row r="12" spans="1:9" ht="15.5" x14ac:dyDescent="0.35">
      <c r="A12" s="38" t="s">
        <v>306</v>
      </c>
      <c r="B12" s="20" t="s">
        <v>309</v>
      </c>
      <c r="C12" s="20" t="s">
        <v>310</v>
      </c>
    </row>
    <row r="13" spans="1:9" ht="15.5" x14ac:dyDescent="0.35">
      <c r="A13" s="39" t="s">
        <v>214</v>
      </c>
      <c r="B13" s="35">
        <v>1841200</v>
      </c>
      <c r="C13" s="40">
        <v>719200</v>
      </c>
    </row>
    <row r="14" spans="1:9" ht="19" x14ac:dyDescent="0.35">
      <c r="A14" s="39" t="s">
        <v>211</v>
      </c>
      <c r="B14" s="35">
        <v>5130750</v>
      </c>
      <c r="C14" s="40">
        <v>689250</v>
      </c>
      <c r="F14" s="85" t="s">
        <v>327</v>
      </c>
      <c r="G14" s="85"/>
      <c r="H14" s="85"/>
    </row>
    <row r="15" spans="1:9" ht="15.5" x14ac:dyDescent="0.35">
      <c r="A15" s="39" t="s">
        <v>213</v>
      </c>
      <c r="B15" s="35">
        <v>3130900</v>
      </c>
      <c r="C15" s="40">
        <v>797900</v>
      </c>
      <c r="F15" s="38" t="s">
        <v>306</v>
      </c>
      <c r="G15" s="20" t="s">
        <v>310</v>
      </c>
      <c r="H15" s="20" t="s">
        <v>309</v>
      </c>
    </row>
    <row r="16" spans="1:9" ht="15.5" x14ac:dyDescent="0.35">
      <c r="A16" s="39" t="s">
        <v>210</v>
      </c>
      <c r="B16" s="35">
        <v>3637840</v>
      </c>
      <c r="C16" s="40">
        <v>1031440</v>
      </c>
      <c r="F16" s="39" t="s">
        <v>311</v>
      </c>
      <c r="G16" s="40">
        <v>342000</v>
      </c>
      <c r="H16" s="35">
        <v>1726400</v>
      </c>
    </row>
    <row r="17" spans="1:8" ht="15.5" x14ac:dyDescent="0.35">
      <c r="A17" s="39" t="s">
        <v>208</v>
      </c>
      <c r="B17" s="35">
        <v>5858500</v>
      </c>
      <c r="C17" s="40">
        <v>857500</v>
      </c>
      <c r="F17" s="39" t="s">
        <v>312</v>
      </c>
      <c r="G17" s="40">
        <v>252500</v>
      </c>
      <c r="H17" s="35">
        <v>1334500</v>
      </c>
    </row>
    <row r="18" spans="1:8" ht="15.5" x14ac:dyDescent="0.35">
      <c r="A18" s="39" t="s">
        <v>212</v>
      </c>
      <c r="B18" s="35">
        <v>6662750</v>
      </c>
      <c r="C18" s="40">
        <v>965250</v>
      </c>
      <c r="F18" s="39" t="s">
        <v>313</v>
      </c>
      <c r="G18" s="40">
        <v>267400</v>
      </c>
      <c r="H18" s="35">
        <v>1388000</v>
      </c>
    </row>
    <row r="19" spans="1:8" ht="15.5" x14ac:dyDescent="0.35">
      <c r="A19" s="39" t="s">
        <v>307</v>
      </c>
      <c r="B19" s="35">
        <v>26261940</v>
      </c>
      <c r="C19" s="40">
        <v>5060540</v>
      </c>
      <c r="F19" s="39" t="s">
        <v>314</v>
      </c>
      <c r="G19" s="40">
        <v>266040</v>
      </c>
      <c r="H19" s="35">
        <v>1367440</v>
      </c>
    </row>
    <row r="20" spans="1:8" ht="15.5" x14ac:dyDescent="0.35">
      <c r="F20" s="39" t="s">
        <v>315</v>
      </c>
      <c r="G20" s="40">
        <v>308100</v>
      </c>
      <c r="H20" s="35">
        <v>1732200</v>
      </c>
    </row>
    <row r="21" spans="1:8" ht="15.5" x14ac:dyDescent="0.35">
      <c r="F21" s="39" t="s">
        <v>316</v>
      </c>
      <c r="G21" s="40">
        <v>327000</v>
      </c>
      <c r="H21" s="35">
        <v>1562500</v>
      </c>
    </row>
    <row r="22" spans="1:8" ht="19" x14ac:dyDescent="0.4">
      <c r="A22" s="74" t="s">
        <v>6</v>
      </c>
      <c r="B22" s="74"/>
      <c r="F22" s="39" t="s">
        <v>317</v>
      </c>
      <c r="G22" s="40">
        <v>323900</v>
      </c>
      <c r="H22" s="35">
        <v>1617100</v>
      </c>
    </row>
    <row r="23" spans="1:8" ht="15.5" x14ac:dyDescent="0.35">
      <c r="A23" s="38" t="s">
        <v>306</v>
      </c>
      <c r="B23" s="20" t="s">
        <v>323</v>
      </c>
      <c r="F23" s="39" t="s">
        <v>318</v>
      </c>
      <c r="G23" s="40">
        <v>329750</v>
      </c>
      <c r="H23" s="35">
        <v>1927950</v>
      </c>
    </row>
    <row r="24" spans="1:8" ht="15.5" x14ac:dyDescent="0.35">
      <c r="A24" s="39" t="s">
        <v>65</v>
      </c>
      <c r="B24" s="23">
        <v>1</v>
      </c>
      <c r="F24" s="39" t="s">
        <v>319</v>
      </c>
      <c r="G24" s="40">
        <v>721700</v>
      </c>
      <c r="H24" s="35">
        <v>3655200</v>
      </c>
    </row>
    <row r="25" spans="1:8" ht="15.5" x14ac:dyDescent="0.35">
      <c r="A25" s="39" t="s">
        <v>16</v>
      </c>
      <c r="B25" s="23">
        <v>117</v>
      </c>
      <c r="F25" s="39" t="s">
        <v>320</v>
      </c>
      <c r="G25" s="40">
        <v>601400</v>
      </c>
      <c r="H25" s="35">
        <v>3064600</v>
      </c>
    </row>
    <row r="26" spans="1:8" ht="15.5" x14ac:dyDescent="0.35">
      <c r="A26" s="39" t="s">
        <v>57</v>
      </c>
      <c r="B26" s="23">
        <v>2</v>
      </c>
      <c r="F26" s="39" t="s">
        <v>321</v>
      </c>
      <c r="G26" s="40">
        <v>620450</v>
      </c>
      <c r="H26" s="35">
        <v>3266550</v>
      </c>
    </row>
    <row r="27" spans="1:8" ht="15.5" x14ac:dyDescent="0.35">
      <c r="A27" s="39" t="s">
        <v>307</v>
      </c>
      <c r="B27" s="23">
        <v>120</v>
      </c>
      <c r="F27" s="39" t="s">
        <v>322</v>
      </c>
      <c r="G27" s="40">
        <v>700300</v>
      </c>
      <c r="H27" s="35">
        <v>3619500</v>
      </c>
    </row>
    <row r="28" spans="1:8" ht="15.5" x14ac:dyDescent="0.35">
      <c r="F28" s="39" t="s">
        <v>307</v>
      </c>
      <c r="G28" s="40">
        <v>5060540</v>
      </c>
      <c r="H28" s="35">
        <v>26261940</v>
      </c>
    </row>
  </sheetData>
  <mergeCells count="5">
    <mergeCell ref="A2:D2"/>
    <mergeCell ref="A11:C11"/>
    <mergeCell ref="A22:B22"/>
    <mergeCell ref="F2:I2"/>
    <mergeCell ref="F14:H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A85B-E685-4F85-B3FD-02B2B5DD9647}">
  <sheetPr>
    <tabColor theme="9"/>
  </sheetPr>
  <dimension ref="A1:AH1"/>
  <sheetViews>
    <sheetView zoomScale="87" zoomScaleNormal="87" workbookViewId="0">
      <selection activeCell="U5" sqref="U5"/>
    </sheetView>
  </sheetViews>
  <sheetFormatPr defaultRowHeight="14.5" x14ac:dyDescent="0.35"/>
  <cols>
    <col min="1" max="34" width="8.7265625" style="1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0E3D-C1B2-40E2-A6E1-BD7B278D10D7}">
  <sheetPr>
    <tabColor theme="5"/>
  </sheetPr>
  <dimension ref="B1:B15"/>
  <sheetViews>
    <sheetView workbookViewId="0">
      <selection activeCell="D3" sqref="D3"/>
    </sheetView>
  </sheetViews>
  <sheetFormatPr defaultRowHeight="14.5" x14ac:dyDescent="0.35"/>
  <cols>
    <col min="1" max="1" width="8.36328125" customWidth="1"/>
    <col min="2" max="2" width="78.1796875" bestFit="1" customWidth="1"/>
  </cols>
  <sheetData>
    <row r="1" spans="2:2" ht="15" thickBot="1" x14ac:dyDescent="0.4"/>
    <row r="2" spans="2:2" ht="20" x14ac:dyDescent="0.35">
      <c r="B2" s="42" t="s">
        <v>328</v>
      </c>
    </row>
    <row r="3" spans="2:2" ht="15.5" x14ac:dyDescent="0.35">
      <c r="B3" s="45" t="str">
        <f>"Total eligible Net Sales were ₹ "&amp;TEXT(Analysis!B9,"0.00,,") &amp;"M with total profit of ₹"&amp;TEXT(Analysis!B11,"0.00,,")&amp;"M ."</f>
        <v>Total eligible Net Sales were ₹ 25.88M with total profit of ₹4.98M .</v>
      </c>
    </row>
    <row r="4" spans="2:2" x14ac:dyDescent="0.35">
      <c r="B4" s="41"/>
    </row>
    <row r="5" spans="2:2" ht="20" x14ac:dyDescent="0.35">
      <c r="B5" s="43" t="s">
        <v>324</v>
      </c>
    </row>
    <row r="6" spans="2:2" ht="15.5" x14ac:dyDescent="0.35">
      <c r="B6" s="45" t="str">
        <f>"The region with the highest Net Sales was  ₹ "&amp;TEXT(Analysis!E4,"0.00,,")&amp;"M based on the regional analysis "</f>
        <v xml:space="preserve">The region with the highest Net Sales was  ₹ 7.55M based on the regional analysis </v>
      </c>
    </row>
    <row r="7" spans="2:2" x14ac:dyDescent="0.35">
      <c r="B7" s="41"/>
    </row>
    <row r="8" spans="2:2" ht="20" x14ac:dyDescent="0.35">
      <c r="B8" s="43" t="s">
        <v>325</v>
      </c>
    </row>
    <row r="9" spans="2:2" ht="15.5" x14ac:dyDescent="0.35">
      <c r="B9" s="44" t="str">
        <f>"The product with the highest quantity sold was "&amp;Analysis!AO6&amp;"."</f>
        <v>The product with the highest quantity sold was Monitor.</v>
      </c>
    </row>
    <row r="10" spans="2:2" x14ac:dyDescent="0.35">
      <c r="B10" s="41"/>
    </row>
    <row r="11" spans="2:2" ht="20" x14ac:dyDescent="0.35">
      <c r="B11" s="43" t="s">
        <v>329</v>
      </c>
    </row>
    <row r="12" spans="2:2" ht="15.5" x14ac:dyDescent="0.35">
      <c r="B12" s="44" t="str">
        <f>"Overall Profit % was "&amp;TEXT(Analysis!B12,"0%")&amp;"."</f>
        <v>Overall Profit % was 19%.</v>
      </c>
    </row>
    <row r="13" spans="2:2" x14ac:dyDescent="0.35">
      <c r="B13" s="41"/>
    </row>
    <row r="14" spans="2:2" ht="20" x14ac:dyDescent="0.35">
      <c r="B14" s="43" t="s">
        <v>330</v>
      </c>
    </row>
    <row r="15" spans="2:2" ht="16" thickBot="1" x14ac:dyDescent="0.4">
      <c r="B15" s="46" t="str">
        <f>" There were "&amp;TEXT(Analysis!B7,"0")&amp;" returned orders, representing approximately "&amp;TEXT(Analysis!AJ7,"0%")&amp;" of total orders."</f>
        <v xml:space="preserve"> There were 2 returned orders, representing approximately 2% of total orders.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49FA-66FB-40FA-9638-E8E626DE26C1}">
  <sheetPr>
    <tabColor theme="8"/>
  </sheetPr>
  <dimension ref="A1:B35"/>
  <sheetViews>
    <sheetView tabSelected="1" workbookViewId="0">
      <selection activeCell="C9" sqref="C9"/>
    </sheetView>
  </sheetViews>
  <sheetFormatPr defaultRowHeight="14.5" x14ac:dyDescent="0.35"/>
  <cols>
    <col min="1" max="1" width="67.81640625" customWidth="1"/>
  </cols>
  <sheetData>
    <row r="1" spans="1:2" ht="30.5" thickBot="1" x14ac:dyDescent="0.4">
      <c r="A1" s="47" t="s">
        <v>331</v>
      </c>
      <c r="B1" s="18"/>
    </row>
    <row r="2" spans="1:2" ht="15" x14ac:dyDescent="0.35">
      <c r="A2" s="48" t="s">
        <v>332</v>
      </c>
      <c r="B2" s="18"/>
    </row>
    <row r="3" spans="1:2" ht="15" x14ac:dyDescent="0.35">
      <c r="A3" s="49" t="s">
        <v>333</v>
      </c>
      <c r="B3" s="18"/>
    </row>
    <row r="4" spans="1:2" ht="15" x14ac:dyDescent="0.35">
      <c r="A4" s="49" t="s">
        <v>334</v>
      </c>
      <c r="B4" s="18"/>
    </row>
    <row r="5" spans="1:2" ht="15" x14ac:dyDescent="0.35">
      <c r="A5" s="49" t="s">
        <v>335</v>
      </c>
      <c r="B5" s="18"/>
    </row>
    <row r="6" spans="1:2" ht="15" x14ac:dyDescent="0.35">
      <c r="A6" s="49" t="s">
        <v>336</v>
      </c>
      <c r="B6" s="18"/>
    </row>
    <row r="7" spans="1:2" ht="15" x14ac:dyDescent="0.35">
      <c r="A7" s="49" t="s">
        <v>337</v>
      </c>
      <c r="B7" s="18"/>
    </row>
    <row r="8" spans="1:2" ht="15" x14ac:dyDescent="0.35">
      <c r="A8" s="49" t="s">
        <v>338</v>
      </c>
      <c r="B8" s="18"/>
    </row>
    <row r="9" spans="1:2" ht="15" x14ac:dyDescent="0.35">
      <c r="A9" s="49" t="s">
        <v>339</v>
      </c>
      <c r="B9" s="18"/>
    </row>
    <row r="10" spans="1:2" ht="15" x14ac:dyDescent="0.35">
      <c r="A10" s="49" t="s">
        <v>340</v>
      </c>
      <c r="B10" s="18"/>
    </row>
    <row r="11" spans="1:2" ht="15" x14ac:dyDescent="0.35">
      <c r="A11" s="49" t="s">
        <v>341</v>
      </c>
      <c r="B11" s="18"/>
    </row>
    <row r="12" spans="1:2" ht="15" x14ac:dyDescent="0.35">
      <c r="A12" s="49" t="s">
        <v>342</v>
      </c>
      <c r="B12" s="18"/>
    </row>
    <row r="13" spans="1:2" ht="15" x14ac:dyDescent="0.35">
      <c r="A13" s="49" t="s">
        <v>343</v>
      </c>
      <c r="B13" s="18"/>
    </row>
    <row r="14" spans="1:2" ht="15.5" thickBot="1" x14ac:dyDescent="0.4">
      <c r="A14" s="50" t="s">
        <v>344</v>
      </c>
      <c r="B14" s="18"/>
    </row>
    <row r="16" spans="1:2" ht="30.5" thickBot="1" x14ac:dyDescent="0.4">
      <c r="A16" s="51" t="s">
        <v>345</v>
      </c>
    </row>
    <row r="17" spans="1:1" ht="15.5" x14ac:dyDescent="0.35">
      <c r="A17" s="52" t="s">
        <v>346</v>
      </c>
    </row>
    <row r="18" spans="1:1" ht="15.5" x14ac:dyDescent="0.35">
      <c r="A18" s="53" t="s">
        <v>347</v>
      </c>
    </row>
    <row r="19" spans="1:1" ht="15.5" x14ac:dyDescent="0.35">
      <c r="A19" s="53" t="s">
        <v>348</v>
      </c>
    </row>
    <row r="20" spans="1:1" ht="15.5" x14ac:dyDescent="0.35">
      <c r="A20" s="53" t="s">
        <v>349</v>
      </c>
    </row>
    <row r="21" spans="1:1" ht="15.5" x14ac:dyDescent="0.35">
      <c r="A21" s="53" t="s">
        <v>350</v>
      </c>
    </row>
    <row r="22" spans="1:1" ht="15.5" x14ac:dyDescent="0.35">
      <c r="A22" s="53" t="s">
        <v>351</v>
      </c>
    </row>
    <row r="23" spans="1:1" ht="16" thickBot="1" x14ac:dyDescent="0.4">
      <c r="A23" s="54" t="s">
        <v>330</v>
      </c>
    </row>
    <row r="25" spans="1:1" ht="33" thickBot="1" x14ac:dyDescent="0.4">
      <c r="A25" s="55" t="s">
        <v>352</v>
      </c>
    </row>
    <row r="26" spans="1:1" ht="15" x14ac:dyDescent="0.35">
      <c r="A26" s="56" t="s">
        <v>353</v>
      </c>
    </row>
    <row r="27" spans="1:1" ht="15" x14ac:dyDescent="0.35">
      <c r="A27" s="57" t="s">
        <v>354</v>
      </c>
    </row>
    <row r="28" spans="1:1" ht="15" x14ac:dyDescent="0.35">
      <c r="A28" s="57" t="s">
        <v>355</v>
      </c>
    </row>
    <row r="29" spans="1:1" ht="15" x14ac:dyDescent="0.35">
      <c r="A29" s="57" t="s">
        <v>356</v>
      </c>
    </row>
    <row r="30" spans="1:1" ht="15" x14ac:dyDescent="0.35">
      <c r="A30" s="57" t="s">
        <v>357</v>
      </c>
    </row>
    <row r="31" spans="1:1" ht="15" x14ac:dyDescent="0.35">
      <c r="A31" s="57" t="s">
        <v>358</v>
      </c>
    </row>
    <row r="32" spans="1:1" ht="15" x14ac:dyDescent="0.35">
      <c r="A32" s="57" t="s">
        <v>359</v>
      </c>
    </row>
    <row r="33" spans="1:1" ht="15" x14ac:dyDescent="0.35">
      <c r="A33" s="57" t="s">
        <v>360</v>
      </c>
    </row>
    <row r="34" spans="1:1" ht="15" x14ac:dyDescent="0.35">
      <c r="A34" s="57" t="s">
        <v>361</v>
      </c>
    </row>
    <row r="35" spans="1:1" ht="15.5" thickBot="1" x14ac:dyDescent="0.4">
      <c r="A35" s="58" t="s">
        <v>362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9CDE-A625-468C-9D72-524A44918A42}">
  <sheetPr>
    <tabColor theme="0"/>
  </sheetPr>
  <dimension ref="A1:Z121"/>
  <sheetViews>
    <sheetView workbookViewId="0">
      <selection activeCell="G13" sqref="G13"/>
    </sheetView>
  </sheetViews>
  <sheetFormatPr defaultRowHeight="14.5" x14ac:dyDescent="0.35"/>
  <cols>
    <col min="1" max="1" width="9.90625" bestFit="1" customWidth="1"/>
    <col min="2" max="2" width="15.08984375" bestFit="1" customWidth="1"/>
    <col min="3" max="3" width="13.453125" bestFit="1" customWidth="1"/>
    <col min="4" max="4" width="11.81640625" bestFit="1" customWidth="1"/>
    <col min="5" max="5" width="13.453125" bestFit="1" customWidth="1"/>
    <col min="6" max="6" width="9.54296875" bestFit="1" customWidth="1"/>
    <col min="7" max="7" width="13.453125" bestFit="1" customWidth="1"/>
    <col min="8" max="8" width="15.453125" bestFit="1" customWidth="1"/>
    <col min="9" max="9" width="10.26953125" bestFit="1" customWidth="1"/>
    <col min="10" max="10" width="11.26953125" bestFit="1" customWidth="1"/>
    <col min="11" max="11" width="12.54296875" bestFit="1" customWidth="1"/>
    <col min="12" max="12" width="14.90625" bestFit="1" customWidth="1"/>
    <col min="13" max="14" width="16.6328125" bestFit="1" customWidth="1"/>
    <col min="15" max="15" width="12.7265625" bestFit="1" customWidth="1"/>
    <col min="16" max="16" width="10.6328125" bestFit="1" customWidth="1"/>
    <col min="17" max="17" width="10" bestFit="1" customWidth="1"/>
    <col min="18" max="18" width="11.36328125" bestFit="1" customWidth="1"/>
    <col min="19" max="19" width="7.6328125" bestFit="1" customWidth="1"/>
    <col min="20" max="20" width="11.81640625" bestFit="1" customWidth="1"/>
    <col min="21" max="21" width="10.08984375" bestFit="1" customWidth="1"/>
    <col min="22" max="22" width="6.81640625" bestFit="1" customWidth="1"/>
    <col min="23" max="23" width="10.1796875" bestFit="1" customWidth="1"/>
    <col min="24" max="24" width="19.453125" bestFit="1" customWidth="1"/>
    <col min="25" max="25" width="14.90625" bestFit="1" customWidth="1"/>
    <col min="26" max="26" width="9.7265625" bestFit="1" customWidth="1"/>
  </cols>
  <sheetData>
    <row r="1" spans="1:26" x14ac:dyDescent="0.35">
      <c r="A1" t="s">
        <v>0</v>
      </c>
      <c r="B1" t="s">
        <v>1</v>
      </c>
      <c r="C1" t="s">
        <v>2</v>
      </c>
      <c r="D1" t="s">
        <v>3</v>
      </c>
      <c r="E1" t="s">
        <v>4</v>
      </c>
      <c r="F1" t="s">
        <v>5</v>
      </c>
      <c r="G1" t="s">
        <v>6</v>
      </c>
      <c r="H1" t="s">
        <v>7</v>
      </c>
      <c r="I1" t="s">
        <v>8</v>
      </c>
      <c r="J1" t="s">
        <v>9</v>
      </c>
      <c r="K1" t="s">
        <v>10</v>
      </c>
      <c r="L1" t="s">
        <v>164</v>
      </c>
      <c r="M1" t="s">
        <v>205</v>
      </c>
      <c r="N1" t="s">
        <v>184</v>
      </c>
      <c r="O1" t="s">
        <v>215</v>
      </c>
      <c r="P1" t="s">
        <v>216</v>
      </c>
      <c r="Q1" t="s">
        <v>217</v>
      </c>
      <c r="R1" t="s">
        <v>218</v>
      </c>
      <c r="S1" t="s">
        <v>219</v>
      </c>
      <c r="T1" t="s">
        <v>220</v>
      </c>
      <c r="U1" t="s">
        <v>221</v>
      </c>
      <c r="V1" t="s">
        <v>222</v>
      </c>
      <c r="W1" t="s">
        <v>223</v>
      </c>
      <c r="X1" t="s">
        <v>224</v>
      </c>
      <c r="Y1" t="s">
        <v>225</v>
      </c>
      <c r="Z1" t="s">
        <v>226</v>
      </c>
    </row>
    <row r="2" spans="1:26" x14ac:dyDescent="0.35">
      <c r="A2" s="2" t="s">
        <v>11</v>
      </c>
      <c r="B2" s="16">
        <v>46027</v>
      </c>
      <c r="C2" s="2" t="s">
        <v>12</v>
      </c>
      <c r="D2" s="2" t="s">
        <v>13</v>
      </c>
      <c r="E2" s="2" t="s">
        <v>14</v>
      </c>
      <c r="F2" s="2" t="s">
        <v>15</v>
      </c>
      <c r="G2" s="2" t="s">
        <v>16</v>
      </c>
      <c r="H2" s="2" t="s">
        <v>17</v>
      </c>
      <c r="I2">
        <v>5</v>
      </c>
      <c r="J2">
        <v>50000</v>
      </c>
      <c r="K2">
        <v>0.05</v>
      </c>
      <c r="L2" s="2" t="s">
        <v>169</v>
      </c>
      <c r="M2" s="2" t="s">
        <v>208</v>
      </c>
      <c r="N2" s="2" t="s">
        <v>188</v>
      </c>
      <c r="O2">
        <v>250000</v>
      </c>
      <c r="P2">
        <v>12500</v>
      </c>
      <c r="Q2">
        <v>237500</v>
      </c>
      <c r="R2">
        <v>195000</v>
      </c>
      <c r="S2">
        <v>42500</v>
      </c>
      <c r="T2">
        <v>0.17894736842105263</v>
      </c>
      <c r="U2" s="1">
        <v>46023</v>
      </c>
      <c r="V2">
        <v>2026</v>
      </c>
      <c r="W2" s="2" t="s">
        <v>294</v>
      </c>
      <c r="X2" s="2" t="s">
        <v>295</v>
      </c>
      <c r="Y2" s="2" t="s">
        <v>296</v>
      </c>
      <c r="Z2" s="2" t="s">
        <v>297</v>
      </c>
    </row>
    <row r="3" spans="1:26" x14ac:dyDescent="0.35">
      <c r="A3" s="2" t="s">
        <v>18</v>
      </c>
      <c r="B3" s="16">
        <v>46028</v>
      </c>
      <c r="C3" s="2" t="s">
        <v>19</v>
      </c>
      <c r="D3" s="2" t="s">
        <v>20</v>
      </c>
      <c r="E3" s="2" t="s">
        <v>21</v>
      </c>
      <c r="F3" s="2" t="s">
        <v>22</v>
      </c>
      <c r="G3" s="2" t="s">
        <v>16</v>
      </c>
      <c r="H3" s="2" t="s">
        <v>23</v>
      </c>
      <c r="I3">
        <v>8</v>
      </c>
      <c r="J3">
        <v>25000</v>
      </c>
      <c r="K3">
        <v>0.1</v>
      </c>
      <c r="L3" s="2" t="s">
        <v>172</v>
      </c>
      <c r="M3" s="2" t="s">
        <v>210</v>
      </c>
      <c r="N3" s="2" t="s">
        <v>191</v>
      </c>
      <c r="O3">
        <v>200000</v>
      </c>
      <c r="P3">
        <v>20000</v>
      </c>
      <c r="Q3">
        <v>180000</v>
      </c>
      <c r="R3">
        <v>152000</v>
      </c>
      <c r="S3">
        <v>28000</v>
      </c>
      <c r="T3">
        <v>0.15555555555555556</v>
      </c>
      <c r="U3" s="1">
        <v>46023</v>
      </c>
      <c r="V3">
        <v>2026</v>
      </c>
      <c r="W3" s="2" t="s">
        <v>298</v>
      </c>
      <c r="X3" s="2" t="s">
        <v>295</v>
      </c>
      <c r="Y3" s="2" t="s">
        <v>296</v>
      </c>
      <c r="Z3" s="2" t="s">
        <v>297</v>
      </c>
    </row>
    <row r="4" spans="1:26" x14ac:dyDescent="0.35">
      <c r="A4" s="2" t="s">
        <v>24</v>
      </c>
      <c r="B4" s="16">
        <v>46030</v>
      </c>
      <c r="C4" s="2" t="s">
        <v>25</v>
      </c>
      <c r="D4" s="2" t="s">
        <v>26</v>
      </c>
      <c r="E4" s="2" t="s">
        <v>27</v>
      </c>
      <c r="F4" s="2" t="s">
        <v>28</v>
      </c>
      <c r="G4" s="2" t="s">
        <v>16</v>
      </c>
      <c r="H4" s="2" t="s">
        <v>29</v>
      </c>
      <c r="I4">
        <v>15</v>
      </c>
      <c r="J4">
        <v>5000</v>
      </c>
      <c r="K4">
        <v>0.05</v>
      </c>
      <c r="L4" s="2" t="s">
        <v>175</v>
      </c>
      <c r="M4" s="2" t="s">
        <v>211</v>
      </c>
      <c r="N4" s="2" t="s">
        <v>194</v>
      </c>
      <c r="O4">
        <v>75000</v>
      </c>
      <c r="P4">
        <v>3750</v>
      </c>
      <c r="Q4">
        <v>71250</v>
      </c>
      <c r="R4">
        <v>52500</v>
      </c>
      <c r="S4">
        <v>18750</v>
      </c>
      <c r="T4">
        <v>0.26315789473684209</v>
      </c>
      <c r="U4" s="1">
        <v>46023</v>
      </c>
      <c r="V4">
        <v>2026</v>
      </c>
      <c r="W4" s="2" t="s">
        <v>299</v>
      </c>
      <c r="X4" s="2" t="s">
        <v>295</v>
      </c>
      <c r="Y4" s="2" t="s">
        <v>296</v>
      </c>
      <c r="Z4" s="2" t="s">
        <v>297</v>
      </c>
    </row>
    <row r="5" spans="1:26" x14ac:dyDescent="0.35">
      <c r="A5" s="2" t="s">
        <v>30</v>
      </c>
      <c r="B5" s="16">
        <v>46032</v>
      </c>
      <c r="C5" s="2" t="s">
        <v>31</v>
      </c>
      <c r="D5" s="2" t="s">
        <v>32</v>
      </c>
      <c r="E5" s="2" t="s">
        <v>33</v>
      </c>
      <c r="F5" s="2" t="s">
        <v>34</v>
      </c>
      <c r="G5" s="2" t="s">
        <v>16</v>
      </c>
      <c r="H5" s="2" t="s">
        <v>35</v>
      </c>
      <c r="I5">
        <v>20</v>
      </c>
      <c r="J5">
        <v>2000</v>
      </c>
      <c r="K5">
        <v>0</v>
      </c>
      <c r="L5" s="2" t="s">
        <v>178</v>
      </c>
      <c r="M5" s="2" t="s">
        <v>212</v>
      </c>
      <c r="N5" s="2" t="s">
        <v>196</v>
      </c>
      <c r="O5">
        <v>40000</v>
      </c>
      <c r="P5">
        <v>0</v>
      </c>
      <c r="Q5">
        <v>40000</v>
      </c>
      <c r="R5">
        <v>24000</v>
      </c>
      <c r="S5">
        <v>16000</v>
      </c>
      <c r="T5">
        <v>0.4</v>
      </c>
      <c r="U5" s="1">
        <v>46023</v>
      </c>
      <c r="V5">
        <v>2026</v>
      </c>
      <c r="W5" s="2" t="s">
        <v>300</v>
      </c>
      <c r="X5" s="2" t="s">
        <v>301</v>
      </c>
      <c r="Y5" s="2" t="s">
        <v>296</v>
      </c>
      <c r="Z5" s="2" t="s">
        <v>297</v>
      </c>
    </row>
    <row r="6" spans="1:26" x14ac:dyDescent="0.35">
      <c r="A6" s="2" t="s">
        <v>36</v>
      </c>
      <c r="B6" s="16">
        <v>46034</v>
      </c>
      <c r="C6" s="2" t="s">
        <v>37</v>
      </c>
      <c r="D6" s="2" t="s">
        <v>38</v>
      </c>
      <c r="E6" s="2" t="s">
        <v>39</v>
      </c>
      <c r="F6" s="2" t="s">
        <v>15</v>
      </c>
      <c r="G6" s="2" t="s">
        <v>16</v>
      </c>
      <c r="H6" s="2" t="s">
        <v>17</v>
      </c>
      <c r="I6">
        <v>6</v>
      </c>
      <c r="J6">
        <v>35000</v>
      </c>
      <c r="K6">
        <v>0.08</v>
      </c>
      <c r="L6" s="2" t="s">
        <v>179</v>
      </c>
      <c r="M6" s="2" t="s">
        <v>213</v>
      </c>
      <c r="N6" s="2" t="s">
        <v>198</v>
      </c>
      <c r="O6">
        <v>210000</v>
      </c>
      <c r="P6">
        <v>16800</v>
      </c>
      <c r="Q6">
        <v>193200</v>
      </c>
      <c r="R6">
        <v>162000</v>
      </c>
      <c r="S6">
        <v>31200</v>
      </c>
      <c r="T6">
        <v>0.16149068322981366</v>
      </c>
      <c r="U6" s="1">
        <v>46023</v>
      </c>
      <c r="V6">
        <v>2026</v>
      </c>
      <c r="W6" s="2" t="s">
        <v>294</v>
      </c>
      <c r="X6" s="2" t="s">
        <v>295</v>
      </c>
      <c r="Y6" s="2" t="s">
        <v>296</v>
      </c>
      <c r="Z6" s="2" t="s">
        <v>297</v>
      </c>
    </row>
    <row r="7" spans="1:26" x14ac:dyDescent="0.35">
      <c r="A7" s="2" t="s">
        <v>40</v>
      </c>
      <c r="B7" s="16">
        <v>46037</v>
      </c>
      <c r="C7" s="2" t="s">
        <v>41</v>
      </c>
      <c r="D7" s="2" t="s">
        <v>42</v>
      </c>
      <c r="E7" s="2" t="s">
        <v>43</v>
      </c>
      <c r="F7" s="2" t="s">
        <v>22</v>
      </c>
      <c r="G7" s="2" t="s">
        <v>16</v>
      </c>
      <c r="H7" s="2" t="s">
        <v>23</v>
      </c>
      <c r="I7">
        <v>12</v>
      </c>
      <c r="J7">
        <v>8000</v>
      </c>
      <c r="K7">
        <v>0.05</v>
      </c>
      <c r="L7" s="2" t="s">
        <v>182</v>
      </c>
      <c r="M7" s="2" t="s">
        <v>214</v>
      </c>
      <c r="N7" s="2" t="s">
        <v>199</v>
      </c>
      <c r="O7">
        <v>96000</v>
      </c>
      <c r="P7">
        <v>4800</v>
      </c>
      <c r="Q7">
        <v>91200</v>
      </c>
      <c r="R7">
        <v>62400</v>
      </c>
      <c r="S7">
        <v>28800</v>
      </c>
      <c r="T7">
        <v>0.31578947368421051</v>
      </c>
      <c r="U7" s="1">
        <v>46023</v>
      </c>
      <c r="V7">
        <v>2026</v>
      </c>
      <c r="W7" s="2" t="s">
        <v>299</v>
      </c>
      <c r="X7" s="2" t="s">
        <v>295</v>
      </c>
      <c r="Y7" s="2" t="s">
        <v>296</v>
      </c>
      <c r="Z7" s="2" t="s">
        <v>297</v>
      </c>
    </row>
    <row r="8" spans="1:26" x14ac:dyDescent="0.35">
      <c r="A8" s="2" t="s">
        <v>44</v>
      </c>
      <c r="B8" s="16">
        <v>46040</v>
      </c>
      <c r="C8" s="2" t="s">
        <v>45</v>
      </c>
      <c r="D8" s="2" t="s">
        <v>13</v>
      </c>
      <c r="E8" s="2" t="s">
        <v>21</v>
      </c>
      <c r="F8" s="2" t="s">
        <v>28</v>
      </c>
      <c r="G8" s="2" t="s">
        <v>16</v>
      </c>
      <c r="H8" s="2" t="s">
        <v>29</v>
      </c>
      <c r="I8">
        <v>4</v>
      </c>
      <c r="J8">
        <v>50000</v>
      </c>
      <c r="K8">
        <v>0.1</v>
      </c>
      <c r="L8" s="2" t="s">
        <v>169</v>
      </c>
      <c r="M8" s="2" t="s">
        <v>210</v>
      </c>
      <c r="N8" s="2" t="s">
        <v>201</v>
      </c>
      <c r="O8">
        <v>200000</v>
      </c>
      <c r="P8">
        <v>20000</v>
      </c>
      <c r="Q8">
        <v>180000</v>
      </c>
      <c r="R8">
        <v>156000</v>
      </c>
      <c r="S8">
        <v>24000</v>
      </c>
      <c r="T8">
        <v>0.13333333333333333</v>
      </c>
      <c r="U8" s="1">
        <v>46023</v>
      </c>
      <c r="V8">
        <v>2026</v>
      </c>
      <c r="W8" s="2" t="s">
        <v>302</v>
      </c>
      <c r="X8" s="2" t="s">
        <v>301</v>
      </c>
      <c r="Y8" s="2" t="s">
        <v>296</v>
      </c>
      <c r="Z8" s="2" t="s">
        <v>297</v>
      </c>
    </row>
    <row r="9" spans="1:26" x14ac:dyDescent="0.35">
      <c r="A9" s="2" t="s">
        <v>46</v>
      </c>
      <c r="B9" s="16">
        <v>46042</v>
      </c>
      <c r="C9" s="2" t="s">
        <v>47</v>
      </c>
      <c r="D9" s="2" t="s">
        <v>20</v>
      </c>
      <c r="E9" s="2" t="s">
        <v>27</v>
      </c>
      <c r="F9" s="2" t="s">
        <v>34</v>
      </c>
      <c r="G9" s="2" t="s">
        <v>16</v>
      </c>
      <c r="H9" s="2" t="s">
        <v>17</v>
      </c>
      <c r="I9">
        <v>10</v>
      </c>
      <c r="J9">
        <v>25000</v>
      </c>
      <c r="K9">
        <v>0.12</v>
      </c>
      <c r="L9" s="2" t="s">
        <v>172</v>
      </c>
      <c r="M9" s="2" t="s">
        <v>211</v>
      </c>
      <c r="N9" s="2" t="s">
        <v>202</v>
      </c>
      <c r="O9">
        <v>250000</v>
      </c>
      <c r="P9">
        <v>30000</v>
      </c>
      <c r="Q9">
        <v>220000</v>
      </c>
      <c r="R9">
        <v>190000</v>
      </c>
      <c r="S9">
        <v>30000</v>
      </c>
      <c r="T9">
        <v>0.13636363636363635</v>
      </c>
      <c r="U9" s="1">
        <v>46023</v>
      </c>
      <c r="V9">
        <v>2026</v>
      </c>
      <c r="W9" s="2" t="s">
        <v>298</v>
      </c>
      <c r="X9" s="2" t="s">
        <v>295</v>
      </c>
      <c r="Y9" s="2" t="s">
        <v>296</v>
      </c>
      <c r="Z9" s="2" t="s">
        <v>297</v>
      </c>
    </row>
    <row r="10" spans="1:26" x14ac:dyDescent="0.35">
      <c r="A10" s="2" t="s">
        <v>48</v>
      </c>
      <c r="B10" s="16">
        <v>46044</v>
      </c>
      <c r="C10" s="2" t="s">
        <v>49</v>
      </c>
      <c r="D10" s="2" t="s">
        <v>26</v>
      </c>
      <c r="E10" s="2" t="s">
        <v>33</v>
      </c>
      <c r="F10" s="2" t="s">
        <v>15</v>
      </c>
      <c r="G10" s="2" t="s">
        <v>16</v>
      </c>
      <c r="H10" s="2" t="s">
        <v>23</v>
      </c>
      <c r="I10">
        <v>25</v>
      </c>
      <c r="J10">
        <v>5000</v>
      </c>
      <c r="K10">
        <v>0.05</v>
      </c>
      <c r="L10" s="2" t="s">
        <v>175</v>
      </c>
      <c r="M10" s="2" t="s">
        <v>212</v>
      </c>
      <c r="N10" s="2" t="s">
        <v>203</v>
      </c>
      <c r="O10">
        <v>125000</v>
      </c>
      <c r="P10">
        <v>6250</v>
      </c>
      <c r="Q10">
        <v>118750</v>
      </c>
      <c r="R10">
        <v>87500</v>
      </c>
      <c r="S10">
        <v>31250</v>
      </c>
      <c r="T10">
        <v>0.26315789473684209</v>
      </c>
      <c r="U10" s="1">
        <v>46023</v>
      </c>
      <c r="V10">
        <v>2026</v>
      </c>
      <c r="W10" s="2" t="s">
        <v>299</v>
      </c>
      <c r="X10" s="2" t="s">
        <v>295</v>
      </c>
      <c r="Y10" s="2" t="s">
        <v>296</v>
      </c>
      <c r="Z10" s="2" t="s">
        <v>297</v>
      </c>
    </row>
    <row r="11" spans="1:26" x14ac:dyDescent="0.35">
      <c r="A11" s="2" t="s">
        <v>50</v>
      </c>
      <c r="B11" s="16">
        <v>46047</v>
      </c>
      <c r="C11" s="2" t="s">
        <v>51</v>
      </c>
      <c r="D11" s="2" t="s">
        <v>32</v>
      </c>
      <c r="E11" s="2" t="s">
        <v>39</v>
      </c>
      <c r="F11" s="2" t="s">
        <v>22</v>
      </c>
      <c r="G11" s="2" t="s">
        <v>16</v>
      </c>
      <c r="H11" s="2" t="s">
        <v>35</v>
      </c>
      <c r="I11">
        <v>30</v>
      </c>
      <c r="J11">
        <v>2000</v>
      </c>
      <c r="K11">
        <v>0</v>
      </c>
      <c r="L11" s="2" t="s">
        <v>178</v>
      </c>
      <c r="M11" s="2" t="s">
        <v>213</v>
      </c>
      <c r="N11" s="2" t="s">
        <v>204</v>
      </c>
      <c r="O11">
        <v>60000</v>
      </c>
      <c r="P11">
        <v>0</v>
      </c>
      <c r="Q11">
        <v>60000</v>
      </c>
      <c r="R11">
        <v>36000</v>
      </c>
      <c r="S11">
        <v>24000</v>
      </c>
      <c r="T11">
        <v>0.4</v>
      </c>
      <c r="U11" s="1">
        <v>46023</v>
      </c>
      <c r="V11">
        <v>2026</v>
      </c>
      <c r="W11" s="2" t="s">
        <v>302</v>
      </c>
      <c r="X11" s="2" t="s">
        <v>301</v>
      </c>
      <c r="Y11" s="2" t="s">
        <v>296</v>
      </c>
      <c r="Z11" s="2" t="s">
        <v>297</v>
      </c>
    </row>
    <row r="12" spans="1:26" x14ac:dyDescent="0.35">
      <c r="A12" s="2" t="s">
        <v>52</v>
      </c>
      <c r="B12" s="16">
        <v>46050</v>
      </c>
      <c r="C12" s="2" t="s">
        <v>12</v>
      </c>
      <c r="D12" s="2" t="s">
        <v>38</v>
      </c>
      <c r="E12" s="2" t="s">
        <v>14</v>
      </c>
      <c r="F12" s="2" t="s">
        <v>28</v>
      </c>
      <c r="G12" s="2" t="s">
        <v>16</v>
      </c>
      <c r="H12" s="2" t="s">
        <v>29</v>
      </c>
      <c r="I12">
        <v>7</v>
      </c>
      <c r="J12">
        <v>35000</v>
      </c>
      <c r="K12">
        <v>0.1</v>
      </c>
      <c r="L12" s="2" t="s">
        <v>179</v>
      </c>
      <c r="M12" s="2" t="s">
        <v>208</v>
      </c>
      <c r="N12" s="2" t="s">
        <v>188</v>
      </c>
      <c r="O12">
        <v>245000</v>
      </c>
      <c r="P12">
        <v>24500</v>
      </c>
      <c r="Q12">
        <v>220500</v>
      </c>
      <c r="R12">
        <v>189000</v>
      </c>
      <c r="S12">
        <v>31500</v>
      </c>
      <c r="T12">
        <v>0.14285714285714285</v>
      </c>
      <c r="U12" s="1">
        <v>46023</v>
      </c>
      <c r="V12">
        <v>2026</v>
      </c>
      <c r="W12" s="2" t="s">
        <v>303</v>
      </c>
      <c r="X12" s="2" t="s">
        <v>295</v>
      </c>
      <c r="Y12" s="2" t="s">
        <v>296</v>
      </c>
      <c r="Z12" s="2" t="s">
        <v>297</v>
      </c>
    </row>
    <row r="13" spans="1:26" x14ac:dyDescent="0.35">
      <c r="A13" s="2" t="s">
        <v>53</v>
      </c>
      <c r="B13" s="16">
        <v>46052</v>
      </c>
      <c r="C13" s="2" t="s">
        <v>19</v>
      </c>
      <c r="D13" s="2" t="s">
        <v>42</v>
      </c>
      <c r="E13" s="2" t="s">
        <v>43</v>
      </c>
      <c r="F13" s="2" t="s">
        <v>34</v>
      </c>
      <c r="G13" s="2" t="s">
        <v>16</v>
      </c>
      <c r="H13" s="2" t="s">
        <v>23</v>
      </c>
      <c r="I13">
        <v>15</v>
      </c>
      <c r="J13">
        <v>8000</v>
      </c>
      <c r="K13">
        <v>0.05</v>
      </c>
      <c r="L13" s="2" t="s">
        <v>182</v>
      </c>
      <c r="M13" s="2" t="s">
        <v>214</v>
      </c>
      <c r="N13" s="2" t="s">
        <v>191</v>
      </c>
      <c r="O13">
        <v>120000</v>
      </c>
      <c r="P13">
        <v>6000</v>
      </c>
      <c r="Q13">
        <v>114000</v>
      </c>
      <c r="R13">
        <v>78000</v>
      </c>
      <c r="S13">
        <v>36000</v>
      </c>
      <c r="T13">
        <v>0.31578947368421051</v>
      </c>
      <c r="U13" s="1">
        <v>46023</v>
      </c>
      <c r="V13">
        <v>2026</v>
      </c>
      <c r="W13" s="2" t="s">
        <v>304</v>
      </c>
      <c r="X13" s="2" t="s">
        <v>295</v>
      </c>
      <c r="Y13" s="2" t="s">
        <v>296</v>
      </c>
      <c r="Z13" s="2" t="s">
        <v>297</v>
      </c>
    </row>
    <row r="14" spans="1:26" x14ac:dyDescent="0.35">
      <c r="A14" s="2" t="s">
        <v>54</v>
      </c>
      <c r="B14" s="16">
        <v>46056</v>
      </c>
      <c r="C14" s="2" t="s">
        <v>25</v>
      </c>
      <c r="D14" s="2" t="s">
        <v>13</v>
      </c>
      <c r="E14" s="2" t="s">
        <v>27</v>
      </c>
      <c r="F14" s="2" t="s">
        <v>15</v>
      </c>
      <c r="G14" s="2" t="s">
        <v>16</v>
      </c>
      <c r="H14" s="2" t="s">
        <v>17</v>
      </c>
      <c r="I14">
        <v>3</v>
      </c>
      <c r="J14">
        <v>50000</v>
      </c>
      <c r="K14">
        <v>0.05</v>
      </c>
      <c r="L14" s="2" t="s">
        <v>169</v>
      </c>
      <c r="M14" s="2" t="s">
        <v>211</v>
      </c>
      <c r="N14" s="2" t="s">
        <v>194</v>
      </c>
      <c r="O14">
        <v>150000</v>
      </c>
      <c r="P14">
        <v>7500</v>
      </c>
      <c r="Q14">
        <v>142500</v>
      </c>
      <c r="R14">
        <v>117000</v>
      </c>
      <c r="S14">
        <v>25500</v>
      </c>
      <c r="T14">
        <v>0.17894736842105263</v>
      </c>
      <c r="U14" s="1">
        <v>46054</v>
      </c>
      <c r="V14">
        <v>2026</v>
      </c>
      <c r="W14" s="2" t="s">
        <v>298</v>
      </c>
      <c r="X14" s="2" t="s">
        <v>295</v>
      </c>
      <c r="Y14" s="2" t="s">
        <v>296</v>
      </c>
      <c r="Z14" s="2" t="s">
        <v>297</v>
      </c>
    </row>
    <row r="15" spans="1:26" x14ac:dyDescent="0.35">
      <c r="A15" s="2" t="s">
        <v>55</v>
      </c>
      <c r="B15" s="16">
        <v>46058</v>
      </c>
      <c r="C15" s="2" t="s">
        <v>31</v>
      </c>
      <c r="D15" s="2" t="s">
        <v>20</v>
      </c>
      <c r="E15" s="2" t="s">
        <v>33</v>
      </c>
      <c r="F15" s="2" t="s">
        <v>22</v>
      </c>
      <c r="G15" s="2" t="s">
        <v>16</v>
      </c>
      <c r="H15" s="2" t="s">
        <v>29</v>
      </c>
      <c r="I15">
        <v>12</v>
      </c>
      <c r="J15">
        <v>25000</v>
      </c>
      <c r="K15">
        <v>0.08</v>
      </c>
      <c r="L15" s="2" t="s">
        <v>172</v>
      </c>
      <c r="M15" s="2" t="s">
        <v>212</v>
      </c>
      <c r="N15" s="2" t="s">
        <v>196</v>
      </c>
      <c r="O15">
        <v>300000</v>
      </c>
      <c r="P15">
        <v>24000</v>
      </c>
      <c r="Q15">
        <v>276000</v>
      </c>
      <c r="R15">
        <v>228000</v>
      </c>
      <c r="S15">
        <v>48000</v>
      </c>
      <c r="T15">
        <v>0.17391304347826086</v>
      </c>
      <c r="U15" s="1">
        <v>46054</v>
      </c>
      <c r="V15">
        <v>2026</v>
      </c>
      <c r="W15" s="2" t="s">
        <v>299</v>
      </c>
      <c r="X15" s="2" t="s">
        <v>295</v>
      </c>
      <c r="Y15" s="2" t="s">
        <v>296</v>
      </c>
      <c r="Z15" s="2" t="s">
        <v>297</v>
      </c>
    </row>
    <row r="16" spans="1:26" x14ac:dyDescent="0.35">
      <c r="A16" s="2" t="s">
        <v>56</v>
      </c>
      <c r="B16" s="16">
        <v>46061</v>
      </c>
      <c r="C16" s="2" t="s">
        <v>37</v>
      </c>
      <c r="D16" s="2" t="s">
        <v>26</v>
      </c>
      <c r="E16" s="2" t="s">
        <v>39</v>
      </c>
      <c r="F16" s="2" t="s">
        <v>28</v>
      </c>
      <c r="G16" s="2" t="s">
        <v>57</v>
      </c>
      <c r="H16" s="2" t="s">
        <v>23</v>
      </c>
      <c r="I16">
        <v>18</v>
      </c>
      <c r="J16">
        <v>5000</v>
      </c>
      <c r="K16">
        <v>0.05</v>
      </c>
      <c r="L16" s="2" t="s">
        <v>175</v>
      </c>
      <c r="M16" s="2" t="s">
        <v>213</v>
      </c>
      <c r="N16" s="2" t="s">
        <v>198</v>
      </c>
      <c r="O16">
        <v>90000</v>
      </c>
      <c r="P16">
        <v>4500</v>
      </c>
      <c r="Q16">
        <v>85500</v>
      </c>
      <c r="R16">
        <v>63000</v>
      </c>
      <c r="S16">
        <v>22500</v>
      </c>
      <c r="T16">
        <v>0.26315789473684209</v>
      </c>
      <c r="U16" s="1">
        <v>46054</v>
      </c>
      <c r="V16">
        <v>2026</v>
      </c>
      <c r="W16" s="2" t="s">
        <v>302</v>
      </c>
      <c r="X16" s="2" t="s">
        <v>301</v>
      </c>
      <c r="Y16" s="2" t="s">
        <v>297</v>
      </c>
      <c r="Z16" s="2" t="s">
        <v>305</v>
      </c>
    </row>
    <row r="17" spans="1:26" x14ac:dyDescent="0.35">
      <c r="A17" s="2" t="s">
        <v>58</v>
      </c>
      <c r="B17" s="16">
        <v>46063</v>
      </c>
      <c r="C17" s="2" t="s">
        <v>41</v>
      </c>
      <c r="D17" s="2" t="s">
        <v>32</v>
      </c>
      <c r="E17" s="2" t="s">
        <v>43</v>
      </c>
      <c r="F17" s="2" t="s">
        <v>34</v>
      </c>
      <c r="G17" s="2" t="s">
        <v>16</v>
      </c>
      <c r="H17" s="2" t="s">
        <v>35</v>
      </c>
      <c r="I17">
        <v>25</v>
      </c>
      <c r="J17">
        <v>2000</v>
      </c>
      <c r="K17">
        <v>0</v>
      </c>
      <c r="L17" s="2" t="s">
        <v>178</v>
      </c>
      <c r="M17" s="2" t="s">
        <v>214</v>
      </c>
      <c r="N17" s="2" t="s">
        <v>199</v>
      </c>
      <c r="O17">
        <v>50000</v>
      </c>
      <c r="P17">
        <v>0</v>
      </c>
      <c r="Q17">
        <v>50000</v>
      </c>
      <c r="R17">
        <v>30000</v>
      </c>
      <c r="S17">
        <v>20000</v>
      </c>
      <c r="T17">
        <v>0.4</v>
      </c>
      <c r="U17" s="1">
        <v>46054</v>
      </c>
      <c r="V17">
        <v>2026</v>
      </c>
      <c r="W17" s="2" t="s">
        <v>298</v>
      </c>
      <c r="X17" s="2" t="s">
        <v>295</v>
      </c>
      <c r="Y17" s="2" t="s">
        <v>296</v>
      </c>
      <c r="Z17" s="2" t="s">
        <v>297</v>
      </c>
    </row>
    <row r="18" spans="1:26" x14ac:dyDescent="0.35">
      <c r="A18" s="2" t="s">
        <v>59</v>
      </c>
      <c r="B18" s="16">
        <v>46068</v>
      </c>
      <c r="C18" s="2" t="s">
        <v>45</v>
      </c>
      <c r="D18" s="2" t="s">
        <v>38</v>
      </c>
      <c r="E18" s="2" t="s">
        <v>14</v>
      </c>
      <c r="F18" s="2" t="s">
        <v>15</v>
      </c>
      <c r="G18" s="2" t="s">
        <v>16</v>
      </c>
      <c r="H18" s="2" t="s">
        <v>17</v>
      </c>
      <c r="I18">
        <v>5</v>
      </c>
      <c r="J18">
        <v>35000</v>
      </c>
      <c r="K18">
        <v>0.1</v>
      </c>
      <c r="L18" s="2" t="s">
        <v>179</v>
      </c>
      <c r="M18" s="2" t="s">
        <v>208</v>
      </c>
      <c r="N18" s="2" t="s">
        <v>201</v>
      </c>
      <c r="O18">
        <v>175000</v>
      </c>
      <c r="P18">
        <v>17500</v>
      </c>
      <c r="Q18">
        <v>157500</v>
      </c>
      <c r="R18">
        <v>135000</v>
      </c>
      <c r="S18">
        <v>22500</v>
      </c>
      <c r="T18">
        <v>0.14285714285714285</v>
      </c>
      <c r="U18" s="1">
        <v>46054</v>
      </c>
      <c r="V18">
        <v>2026</v>
      </c>
      <c r="W18" s="2" t="s">
        <v>302</v>
      </c>
      <c r="X18" s="2" t="s">
        <v>301</v>
      </c>
      <c r="Y18" s="2" t="s">
        <v>296</v>
      </c>
      <c r="Z18" s="2" t="s">
        <v>297</v>
      </c>
    </row>
    <row r="19" spans="1:26" x14ac:dyDescent="0.35">
      <c r="A19" s="2" t="s">
        <v>60</v>
      </c>
      <c r="B19" s="16">
        <v>46073</v>
      </c>
      <c r="C19" s="2" t="s">
        <v>47</v>
      </c>
      <c r="D19" s="2" t="s">
        <v>13</v>
      </c>
      <c r="E19" s="2" t="s">
        <v>21</v>
      </c>
      <c r="F19" s="2" t="s">
        <v>22</v>
      </c>
      <c r="G19" s="2" t="s">
        <v>16</v>
      </c>
      <c r="H19" s="2" t="s">
        <v>23</v>
      </c>
      <c r="I19">
        <v>6</v>
      </c>
      <c r="J19">
        <v>50000</v>
      </c>
      <c r="K19">
        <v>0.12</v>
      </c>
      <c r="L19" s="2" t="s">
        <v>169</v>
      </c>
      <c r="M19" s="2" t="s">
        <v>210</v>
      </c>
      <c r="N19" s="2" t="s">
        <v>202</v>
      </c>
      <c r="O19">
        <v>300000</v>
      </c>
      <c r="P19">
        <v>36000</v>
      </c>
      <c r="Q19">
        <v>264000</v>
      </c>
      <c r="R19">
        <v>234000</v>
      </c>
      <c r="S19">
        <v>30000</v>
      </c>
      <c r="T19">
        <v>0.11363636363636363</v>
      </c>
      <c r="U19" s="1">
        <v>46054</v>
      </c>
      <c r="V19">
        <v>2026</v>
      </c>
      <c r="W19" s="2" t="s">
        <v>304</v>
      </c>
      <c r="X19" s="2" t="s">
        <v>295</v>
      </c>
      <c r="Y19" s="2" t="s">
        <v>296</v>
      </c>
      <c r="Z19" s="2" t="s">
        <v>297</v>
      </c>
    </row>
    <row r="20" spans="1:26" x14ac:dyDescent="0.35">
      <c r="A20" s="2" t="s">
        <v>61</v>
      </c>
      <c r="B20" s="16">
        <v>46075</v>
      </c>
      <c r="C20" s="2" t="s">
        <v>49</v>
      </c>
      <c r="D20" s="2" t="s">
        <v>42</v>
      </c>
      <c r="E20" s="2" t="s">
        <v>27</v>
      </c>
      <c r="F20" s="2" t="s">
        <v>28</v>
      </c>
      <c r="G20" s="2" t="s">
        <v>16</v>
      </c>
      <c r="H20" s="2" t="s">
        <v>29</v>
      </c>
      <c r="I20">
        <v>20</v>
      </c>
      <c r="J20">
        <v>8000</v>
      </c>
      <c r="K20">
        <v>0.05</v>
      </c>
      <c r="L20" s="2" t="s">
        <v>182</v>
      </c>
      <c r="M20" s="2" t="s">
        <v>211</v>
      </c>
      <c r="N20" s="2" t="s">
        <v>203</v>
      </c>
      <c r="O20">
        <v>160000</v>
      </c>
      <c r="P20">
        <v>8000</v>
      </c>
      <c r="Q20">
        <v>152000</v>
      </c>
      <c r="R20">
        <v>104000</v>
      </c>
      <c r="S20">
        <v>48000</v>
      </c>
      <c r="T20">
        <v>0.31578947368421051</v>
      </c>
      <c r="U20" s="1">
        <v>46054</v>
      </c>
      <c r="V20">
        <v>2026</v>
      </c>
      <c r="W20" s="2" t="s">
        <v>302</v>
      </c>
      <c r="X20" s="2" t="s">
        <v>301</v>
      </c>
      <c r="Y20" s="2" t="s">
        <v>296</v>
      </c>
      <c r="Z20" s="2" t="s">
        <v>297</v>
      </c>
    </row>
    <row r="21" spans="1:26" x14ac:dyDescent="0.35">
      <c r="A21" s="2" t="s">
        <v>62</v>
      </c>
      <c r="B21" s="16">
        <v>46078</v>
      </c>
      <c r="C21" s="2" t="s">
        <v>51</v>
      </c>
      <c r="D21" s="2" t="s">
        <v>20</v>
      </c>
      <c r="E21" s="2" t="s">
        <v>33</v>
      </c>
      <c r="F21" s="2" t="s">
        <v>34</v>
      </c>
      <c r="G21" s="2" t="s">
        <v>16</v>
      </c>
      <c r="H21" s="2" t="s">
        <v>17</v>
      </c>
      <c r="I21">
        <v>9</v>
      </c>
      <c r="J21">
        <v>25000</v>
      </c>
      <c r="K21">
        <v>0.08</v>
      </c>
      <c r="L21" s="2" t="s">
        <v>172</v>
      </c>
      <c r="M21" s="2" t="s">
        <v>212</v>
      </c>
      <c r="N21" s="2" t="s">
        <v>204</v>
      </c>
      <c r="O21">
        <v>225000</v>
      </c>
      <c r="P21">
        <v>18000</v>
      </c>
      <c r="Q21">
        <v>207000</v>
      </c>
      <c r="R21">
        <v>171000</v>
      </c>
      <c r="S21">
        <v>36000</v>
      </c>
      <c r="T21">
        <v>0.17391304347826086</v>
      </c>
      <c r="U21" s="1">
        <v>46054</v>
      </c>
      <c r="V21">
        <v>2026</v>
      </c>
      <c r="W21" s="2" t="s">
        <v>303</v>
      </c>
      <c r="X21" s="2" t="s">
        <v>295</v>
      </c>
      <c r="Y21" s="2" t="s">
        <v>296</v>
      </c>
      <c r="Z21" s="2" t="s">
        <v>297</v>
      </c>
    </row>
    <row r="22" spans="1:26" x14ac:dyDescent="0.35">
      <c r="A22" s="2" t="s">
        <v>63</v>
      </c>
      <c r="B22" s="16">
        <v>46083</v>
      </c>
      <c r="C22" s="2" t="s">
        <v>12</v>
      </c>
      <c r="D22" s="2" t="s">
        <v>26</v>
      </c>
      <c r="E22" s="2" t="s">
        <v>39</v>
      </c>
      <c r="F22" s="2" t="s">
        <v>15</v>
      </c>
      <c r="G22" s="2" t="s">
        <v>16</v>
      </c>
      <c r="H22" s="2" t="s">
        <v>23</v>
      </c>
      <c r="I22">
        <v>30</v>
      </c>
      <c r="J22">
        <v>5000</v>
      </c>
      <c r="K22">
        <v>0.05</v>
      </c>
      <c r="L22" s="2" t="s">
        <v>175</v>
      </c>
      <c r="M22" s="2" t="s">
        <v>213</v>
      </c>
      <c r="N22" s="2" t="s">
        <v>188</v>
      </c>
      <c r="O22">
        <v>150000</v>
      </c>
      <c r="P22">
        <v>7500</v>
      </c>
      <c r="Q22">
        <v>142500</v>
      </c>
      <c r="R22">
        <v>105000</v>
      </c>
      <c r="S22">
        <v>37500</v>
      </c>
      <c r="T22">
        <v>0.26315789473684209</v>
      </c>
      <c r="U22" s="1">
        <v>46082</v>
      </c>
      <c r="V22">
        <v>2026</v>
      </c>
      <c r="W22" s="2" t="s">
        <v>294</v>
      </c>
      <c r="X22" s="2" t="s">
        <v>295</v>
      </c>
      <c r="Y22" s="2" t="s">
        <v>296</v>
      </c>
      <c r="Z22" s="2" t="s">
        <v>297</v>
      </c>
    </row>
    <row r="23" spans="1:26" x14ac:dyDescent="0.35">
      <c r="A23" s="2" t="s">
        <v>64</v>
      </c>
      <c r="B23" s="16">
        <v>46086</v>
      </c>
      <c r="C23" s="2" t="s">
        <v>19</v>
      </c>
      <c r="D23" s="2" t="s">
        <v>32</v>
      </c>
      <c r="E23" s="2" t="s">
        <v>43</v>
      </c>
      <c r="F23" s="2" t="s">
        <v>22</v>
      </c>
      <c r="G23" s="2" t="s">
        <v>65</v>
      </c>
      <c r="H23" s="2" t="s">
        <v>35</v>
      </c>
      <c r="I23">
        <v>35</v>
      </c>
      <c r="J23">
        <v>2000</v>
      </c>
      <c r="K23">
        <v>0</v>
      </c>
      <c r="L23" s="2" t="s">
        <v>178</v>
      </c>
      <c r="M23" s="2" t="s">
        <v>214</v>
      </c>
      <c r="N23" s="2" t="s">
        <v>191</v>
      </c>
      <c r="O23">
        <v>70000</v>
      </c>
      <c r="P23">
        <v>0</v>
      </c>
      <c r="Q23">
        <v>70000</v>
      </c>
      <c r="R23">
        <v>42000</v>
      </c>
      <c r="S23">
        <v>28000</v>
      </c>
      <c r="T23">
        <v>0.4</v>
      </c>
      <c r="U23" s="1">
        <v>46082</v>
      </c>
      <c r="V23">
        <v>2026</v>
      </c>
      <c r="W23" s="2" t="s">
        <v>299</v>
      </c>
      <c r="X23" s="2" t="s">
        <v>295</v>
      </c>
      <c r="Y23" s="2" t="s">
        <v>297</v>
      </c>
      <c r="Z23" s="2" t="s">
        <v>297</v>
      </c>
    </row>
    <row r="24" spans="1:26" x14ac:dyDescent="0.35">
      <c r="A24" s="2" t="s">
        <v>66</v>
      </c>
      <c r="B24" s="16">
        <v>46089</v>
      </c>
      <c r="C24" s="2" t="s">
        <v>25</v>
      </c>
      <c r="D24" s="2" t="s">
        <v>38</v>
      </c>
      <c r="E24" s="2" t="s">
        <v>14</v>
      </c>
      <c r="F24" s="2" t="s">
        <v>28</v>
      </c>
      <c r="G24" s="2" t="s">
        <v>16</v>
      </c>
      <c r="H24" s="2" t="s">
        <v>29</v>
      </c>
      <c r="I24">
        <v>8</v>
      </c>
      <c r="J24">
        <v>35000</v>
      </c>
      <c r="K24">
        <v>0.1</v>
      </c>
      <c r="L24" s="2" t="s">
        <v>179</v>
      </c>
      <c r="M24" s="2" t="s">
        <v>208</v>
      </c>
      <c r="N24" s="2" t="s">
        <v>194</v>
      </c>
      <c r="O24">
        <v>280000</v>
      </c>
      <c r="P24">
        <v>28000</v>
      </c>
      <c r="Q24">
        <v>252000</v>
      </c>
      <c r="R24">
        <v>216000</v>
      </c>
      <c r="S24">
        <v>36000</v>
      </c>
      <c r="T24">
        <v>0.14285714285714285</v>
      </c>
      <c r="U24" s="1">
        <v>46082</v>
      </c>
      <c r="V24">
        <v>2026</v>
      </c>
      <c r="W24" s="2" t="s">
        <v>302</v>
      </c>
      <c r="X24" s="2" t="s">
        <v>301</v>
      </c>
      <c r="Y24" s="2" t="s">
        <v>296</v>
      </c>
      <c r="Z24" s="2" t="s">
        <v>297</v>
      </c>
    </row>
    <row r="25" spans="1:26" x14ac:dyDescent="0.35">
      <c r="A25" s="2" t="s">
        <v>67</v>
      </c>
      <c r="B25" s="16">
        <v>46093</v>
      </c>
      <c r="C25" s="2" t="s">
        <v>31</v>
      </c>
      <c r="D25" s="2" t="s">
        <v>42</v>
      </c>
      <c r="E25" s="2" t="s">
        <v>21</v>
      </c>
      <c r="F25" s="2" t="s">
        <v>34</v>
      </c>
      <c r="G25" s="2" t="s">
        <v>16</v>
      </c>
      <c r="H25" s="2" t="s">
        <v>17</v>
      </c>
      <c r="I25">
        <v>18</v>
      </c>
      <c r="J25">
        <v>8000</v>
      </c>
      <c r="K25">
        <v>0.05</v>
      </c>
      <c r="L25" s="2" t="s">
        <v>182</v>
      </c>
      <c r="M25" s="2" t="s">
        <v>210</v>
      </c>
      <c r="N25" s="2" t="s">
        <v>196</v>
      </c>
      <c r="O25">
        <v>144000</v>
      </c>
      <c r="P25">
        <v>7200</v>
      </c>
      <c r="Q25">
        <v>136800</v>
      </c>
      <c r="R25">
        <v>93600</v>
      </c>
      <c r="S25">
        <v>43200</v>
      </c>
      <c r="T25">
        <v>0.31578947368421051</v>
      </c>
      <c r="U25" s="1">
        <v>46082</v>
      </c>
      <c r="V25">
        <v>2026</v>
      </c>
      <c r="W25" s="2" t="s">
        <v>299</v>
      </c>
      <c r="X25" s="2" t="s">
        <v>295</v>
      </c>
      <c r="Y25" s="2" t="s">
        <v>296</v>
      </c>
      <c r="Z25" s="2" t="s">
        <v>297</v>
      </c>
    </row>
    <row r="26" spans="1:26" x14ac:dyDescent="0.35">
      <c r="A26" s="2" t="s">
        <v>68</v>
      </c>
      <c r="B26" s="16">
        <v>46096</v>
      </c>
      <c r="C26" s="2" t="s">
        <v>37</v>
      </c>
      <c r="D26" s="2" t="s">
        <v>13</v>
      </c>
      <c r="E26" s="2" t="s">
        <v>27</v>
      </c>
      <c r="F26" s="2" t="s">
        <v>15</v>
      </c>
      <c r="G26" s="2" t="s">
        <v>16</v>
      </c>
      <c r="H26" s="2" t="s">
        <v>23</v>
      </c>
      <c r="I26">
        <v>7</v>
      </c>
      <c r="J26">
        <v>50000</v>
      </c>
      <c r="K26">
        <v>0.15</v>
      </c>
      <c r="L26" s="2" t="s">
        <v>169</v>
      </c>
      <c r="M26" s="2" t="s">
        <v>211</v>
      </c>
      <c r="N26" s="2" t="s">
        <v>198</v>
      </c>
      <c r="O26">
        <v>350000</v>
      </c>
      <c r="P26">
        <v>52500</v>
      </c>
      <c r="Q26">
        <v>297500</v>
      </c>
      <c r="R26">
        <v>273000</v>
      </c>
      <c r="S26">
        <v>24500</v>
      </c>
      <c r="T26">
        <v>8.2352941176470587E-2</v>
      </c>
      <c r="U26" s="1">
        <v>46082</v>
      </c>
      <c r="V26">
        <v>2026</v>
      </c>
      <c r="W26" s="2" t="s">
        <v>302</v>
      </c>
      <c r="X26" s="2" t="s">
        <v>301</v>
      </c>
      <c r="Y26" s="2" t="s">
        <v>296</v>
      </c>
      <c r="Z26" s="2" t="s">
        <v>297</v>
      </c>
    </row>
    <row r="27" spans="1:26" x14ac:dyDescent="0.35">
      <c r="A27" s="2" t="s">
        <v>69</v>
      </c>
      <c r="B27" s="16">
        <v>46099</v>
      </c>
      <c r="C27" s="2" t="s">
        <v>41</v>
      </c>
      <c r="D27" s="2" t="s">
        <v>20</v>
      </c>
      <c r="E27" s="2" t="s">
        <v>33</v>
      </c>
      <c r="F27" s="2" t="s">
        <v>22</v>
      </c>
      <c r="G27" s="2" t="s">
        <v>16</v>
      </c>
      <c r="H27" s="2" t="s">
        <v>29</v>
      </c>
      <c r="I27">
        <v>14</v>
      </c>
      <c r="J27">
        <v>25000</v>
      </c>
      <c r="K27">
        <v>0.12</v>
      </c>
      <c r="L27" s="2" t="s">
        <v>172</v>
      </c>
      <c r="M27" s="2" t="s">
        <v>212</v>
      </c>
      <c r="N27" s="2" t="s">
        <v>199</v>
      </c>
      <c r="O27">
        <v>350000</v>
      </c>
      <c r="P27">
        <v>42000</v>
      </c>
      <c r="Q27">
        <v>308000</v>
      </c>
      <c r="R27">
        <v>266000</v>
      </c>
      <c r="S27">
        <v>42000</v>
      </c>
      <c r="T27">
        <v>0.13636363636363635</v>
      </c>
      <c r="U27" s="1">
        <v>46082</v>
      </c>
      <c r="V27">
        <v>2026</v>
      </c>
      <c r="W27" s="2" t="s">
        <v>303</v>
      </c>
      <c r="X27" s="2" t="s">
        <v>295</v>
      </c>
      <c r="Y27" s="2" t="s">
        <v>296</v>
      </c>
      <c r="Z27" s="2" t="s">
        <v>297</v>
      </c>
    </row>
    <row r="28" spans="1:26" x14ac:dyDescent="0.35">
      <c r="A28" s="2" t="s">
        <v>70</v>
      </c>
      <c r="B28" s="16">
        <v>46101</v>
      </c>
      <c r="C28" s="2" t="s">
        <v>45</v>
      </c>
      <c r="D28" s="2" t="s">
        <v>26</v>
      </c>
      <c r="E28" s="2" t="s">
        <v>39</v>
      </c>
      <c r="F28" s="2" t="s">
        <v>28</v>
      </c>
      <c r="G28" s="2" t="s">
        <v>16</v>
      </c>
      <c r="H28" s="2" t="s">
        <v>17</v>
      </c>
      <c r="I28">
        <v>22</v>
      </c>
      <c r="J28">
        <v>5000</v>
      </c>
      <c r="K28">
        <v>0.08</v>
      </c>
      <c r="L28" s="2" t="s">
        <v>175</v>
      </c>
      <c r="M28" s="2" t="s">
        <v>213</v>
      </c>
      <c r="N28" s="2" t="s">
        <v>201</v>
      </c>
      <c r="O28">
        <v>110000</v>
      </c>
      <c r="P28">
        <v>8800</v>
      </c>
      <c r="Q28">
        <v>101200</v>
      </c>
      <c r="R28">
        <v>77000</v>
      </c>
      <c r="S28">
        <v>24200</v>
      </c>
      <c r="T28">
        <v>0.2391304347826087</v>
      </c>
      <c r="U28" s="1">
        <v>46082</v>
      </c>
      <c r="V28">
        <v>2026</v>
      </c>
      <c r="W28" s="2" t="s">
        <v>304</v>
      </c>
      <c r="X28" s="2" t="s">
        <v>295</v>
      </c>
      <c r="Y28" s="2" t="s">
        <v>296</v>
      </c>
      <c r="Z28" s="2" t="s">
        <v>297</v>
      </c>
    </row>
    <row r="29" spans="1:26" x14ac:dyDescent="0.35">
      <c r="A29" s="2" t="s">
        <v>71</v>
      </c>
      <c r="B29" s="16">
        <v>46106</v>
      </c>
      <c r="C29" s="2" t="s">
        <v>47</v>
      </c>
      <c r="D29" s="2" t="s">
        <v>32</v>
      </c>
      <c r="E29" s="2" t="s">
        <v>43</v>
      </c>
      <c r="F29" s="2" t="s">
        <v>34</v>
      </c>
      <c r="G29" s="2" t="s">
        <v>16</v>
      </c>
      <c r="H29" s="2" t="s">
        <v>35</v>
      </c>
      <c r="I29">
        <v>40</v>
      </c>
      <c r="J29">
        <v>2000</v>
      </c>
      <c r="K29">
        <v>0</v>
      </c>
      <c r="L29" s="2" t="s">
        <v>178</v>
      </c>
      <c r="M29" s="2" t="s">
        <v>214</v>
      </c>
      <c r="N29" s="2" t="s">
        <v>202</v>
      </c>
      <c r="O29">
        <v>80000</v>
      </c>
      <c r="P29">
        <v>0</v>
      </c>
      <c r="Q29">
        <v>80000</v>
      </c>
      <c r="R29">
        <v>48000</v>
      </c>
      <c r="S29">
        <v>32000</v>
      </c>
      <c r="T29">
        <v>0.4</v>
      </c>
      <c r="U29" s="1">
        <v>46082</v>
      </c>
      <c r="V29">
        <v>2026</v>
      </c>
      <c r="W29" s="2" t="s">
        <v>303</v>
      </c>
      <c r="X29" s="2" t="s">
        <v>295</v>
      </c>
      <c r="Y29" s="2" t="s">
        <v>296</v>
      </c>
      <c r="Z29" s="2" t="s">
        <v>297</v>
      </c>
    </row>
    <row r="30" spans="1:26" x14ac:dyDescent="0.35">
      <c r="A30" s="2" t="s">
        <v>72</v>
      </c>
      <c r="B30" s="16">
        <v>46114</v>
      </c>
      <c r="C30" s="2" t="s">
        <v>49</v>
      </c>
      <c r="D30" s="2" t="s">
        <v>38</v>
      </c>
      <c r="E30" s="2" t="s">
        <v>14</v>
      </c>
      <c r="F30" s="2" t="s">
        <v>15</v>
      </c>
      <c r="G30" s="2" t="s">
        <v>16</v>
      </c>
      <c r="H30" s="2" t="s">
        <v>17</v>
      </c>
      <c r="I30">
        <v>9</v>
      </c>
      <c r="J30">
        <v>35000</v>
      </c>
      <c r="K30">
        <v>0.1</v>
      </c>
      <c r="L30" s="2" t="s">
        <v>179</v>
      </c>
      <c r="M30" s="2" t="s">
        <v>208</v>
      </c>
      <c r="N30" s="2" t="s">
        <v>203</v>
      </c>
      <c r="O30">
        <v>315000</v>
      </c>
      <c r="P30">
        <v>31500</v>
      </c>
      <c r="Q30">
        <v>283500</v>
      </c>
      <c r="R30">
        <v>243000</v>
      </c>
      <c r="S30">
        <v>40500</v>
      </c>
      <c r="T30">
        <v>0.14285714285714285</v>
      </c>
      <c r="U30" s="1">
        <v>46113</v>
      </c>
      <c r="V30">
        <v>2026</v>
      </c>
      <c r="W30" s="2" t="s">
        <v>299</v>
      </c>
      <c r="X30" s="2" t="s">
        <v>295</v>
      </c>
      <c r="Y30" s="2" t="s">
        <v>296</v>
      </c>
      <c r="Z30" s="2" t="s">
        <v>297</v>
      </c>
    </row>
    <row r="31" spans="1:26" x14ac:dyDescent="0.35">
      <c r="A31" s="2" t="s">
        <v>73</v>
      </c>
      <c r="B31" s="16">
        <v>46117</v>
      </c>
      <c r="C31" s="2" t="s">
        <v>51</v>
      </c>
      <c r="D31" s="2" t="s">
        <v>42</v>
      </c>
      <c r="E31" s="2" t="s">
        <v>21</v>
      </c>
      <c r="F31" s="2" t="s">
        <v>22</v>
      </c>
      <c r="G31" s="2" t="s">
        <v>16</v>
      </c>
      <c r="H31" s="2" t="s">
        <v>23</v>
      </c>
      <c r="I31">
        <v>16</v>
      </c>
      <c r="J31">
        <v>8000</v>
      </c>
      <c r="K31">
        <v>0.05</v>
      </c>
      <c r="L31" s="2" t="s">
        <v>182</v>
      </c>
      <c r="M31" s="2" t="s">
        <v>210</v>
      </c>
      <c r="N31" s="2" t="s">
        <v>204</v>
      </c>
      <c r="O31">
        <v>128000</v>
      </c>
      <c r="P31">
        <v>6400</v>
      </c>
      <c r="Q31">
        <v>121600</v>
      </c>
      <c r="R31">
        <v>83200</v>
      </c>
      <c r="S31">
        <v>38400</v>
      </c>
      <c r="T31">
        <v>0.31578947368421051</v>
      </c>
      <c r="U31" s="1">
        <v>46113</v>
      </c>
      <c r="V31">
        <v>2026</v>
      </c>
      <c r="W31" s="2" t="s">
        <v>302</v>
      </c>
      <c r="X31" s="2" t="s">
        <v>301</v>
      </c>
      <c r="Y31" s="2" t="s">
        <v>296</v>
      </c>
      <c r="Z31" s="2" t="s">
        <v>297</v>
      </c>
    </row>
    <row r="32" spans="1:26" x14ac:dyDescent="0.35">
      <c r="A32" s="2" t="s">
        <v>74</v>
      </c>
      <c r="B32" s="16">
        <v>46120</v>
      </c>
      <c r="C32" s="2" t="s">
        <v>12</v>
      </c>
      <c r="D32" s="2" t="s">
        <v>13</v>
      </c>
      <c r="E32" s="2" t="s">
        <v>27</v>
      </c>
      <c r="F32" s="2" t="s">
        <v>28</v>
      </c>
      <c r="G32" s="2" t="s">
        <v>16</v>
      </c>
      <c r="H32" s="2" t="s">
        <v>29</v>
      </c>
      <c r="I32">
        <v>5</v>
      </c>
      <c r="J32">
        <v>50000</v>
      </c>
      <c r="K32">
        <v>0.08</v>
      </c>
      <c r="L32" s="2" t="s">
        <v>169</v>
      </c>
      <c r="M32" s="2" t="s">
        <v>211</v>
      </c>
      <c r="N32" s="2" t="s">
        <v>188</v>
      </c>
      <c r="O32">
        <v>250000</v>
      </c>
      <c r="P32">
        <v>20000</v>
      </c>
      <c r="Q32">
        <v>230000</v>
      </c>
      <c r="R32">
        <v>195000</v>
      </c>
      <c r="S32">
        <v>35000</v>
      </c>
      <c r="T32">
        <v>0.15217391304347827</v>
      </c>
      <c r="U32" s="1">
        <v>46113</v>
      </c>
      <c r="V32">
        <v>2026</v>
      </c>
      <c r="W32" s="2" t="s">
        <v>303</v>
      </c>
      <c r="X32" s="2" t="s">
        <v>295</v>
      </c>
      <c r="Y32" s="2" t="s">
        <v>296</v>
      </c>
      <c r="Z32" s="2" t="s">
        <v>297</v>
      </c>
    </row>
    <row r="33" spans="1:26" x14ac:dyDescent="0.35">
      <c r="A33" s="2" t="s">
        <v>75</v>
      </c>
      <c r="B33" s="16">
        <v>46124</v>
      </c>
      <c r="C33" s="2" t="s">
        <v>19</v>
      </c>
      <c r="D33" s="2" t="s">
        <v>20</v>
      </c>
      <c r="E33" s="2" t="s">
        <v>33</v>
      </c>
      <c r="F33" s="2" t="s">
        <v>34</v>
      </c>
      <c r="G33" s="2" t="s">
        <v>16</v>
      </c>
      <c r="H33" s="2" t="s">
        <v>17</v>
      </c>
      <c r="I33">
        <v>11</v>
      </c>
      <c r="J33">
        <v>25000</v>
      </c>
      <c r="K33">
        <v>0.1</v>
      </c>
      <c r="L33" s="2" t="s">
        <v>172</v>
      </c>
      <c r="M33" s="2" t="s">
        <v>212</v>
      </c>
      <c r="N33" s="2" t="s">
        <v>191</v>
      </c>
      <c r="O33">
        <v>275000</v>
      </c>
      <c r="P33">
        <v>27500</v>
      </c>
      <c r="Q33">
        <v>247500</v>
      </c>
      <c r="R33">
        <v>209000</v>
      </c>
      <c r="S33">
        <v>38500</v>
      </c>
      <c r="T33">
        <v>0.15555555555555556</v>
      </c>
      <c r="U33" s="1">
        <v>46113</v>
      </c>
      <c r="V33">
        <v>2026</v>
      </c>
      <c r="W33" s="2" t="s">
        <v>302</v>
      </c>
      <c r="X33" s="2" t="s">
        <v>301</v>
      </c>
      <c r="Y33" s="2" t="s">
        <v>296</v>
      </c>
      <c r="Z33" s="2" t="s">
        <v>297</v>
      </c>
    </row>
    <row r="34" spans="1:26" x14ac:dyDescent="0.35">
      <c r="A34" s="2" t="s">
        <v>76</v>
      </c>
      <c r="B34" s="16">
        <v>46127</v>
      </c>
      <c r="C34" s="2" t="s">
        <v>25</v>
      </c>
      <c r="D34" s="2" t="s">
        <v>26</v>
      </c>
      <c r="E34" s="2" t="s">
        <v>39</v>
      </c>
      <c r="F34" s="2" t="s">
        <v>15</v>
      </c>
      <c r="G34" s="2" t="s">
        <v>16</v>
      </c>
      <c r="H34" s="2" t="s">
        <v>23</v>
      </c>
      <c r="I34">
        <v>28</v>
      </c>
      <c r="J34">
        <v>5000</v>
      </c>
      <c r="K34">
        <v>0.05</v>
      </c>
      <c r="L34" s="2" t="s">
        <v>175</v>
      </c>
      <c r="M34" s="2" t="s">
        <v>213</v>
      </c>
      <c r="N34" s="2" t="s">
        <v>194</v>
      </c>
      <c r="O34">
        <v>140000</v>
      </c>
      <c r="P34">
        <v>7000</v>
      </c>
      <c r="Q34">
        <v>133000</v>
      </c>
      <c r="R34">
        <v>98000</v>
      </c>
      <c r="S34">
        <v>35000</v>
      </c>
      <c r="T34">
        <v>0.26315789473684209</v>
      </c>
      <c r="U34" s="1">
        <v>46113</v>
      </c>
      <c r="V34">
        <v>2026</v>
      </c>
      <c r="W34" s="2" t="s">
        <v>303</v>
      </c>
      <c r="X34" s="2" t="s">
        <v>295</v>
      </c>
      <c r="Y34" s="2" t="s">
        <v>296</v>
      </c>
      <c r="Z34" s="2" t="s">
        <v>297</v>
      </c>
    </row>
    <row r="35" spans="1:26" x14ac:dyDescent="0.35">
      <c r="A35" s="2" t="s">
        <v>77</v>
      </c>
      <c r="B35" s="16">
        <v>46130</v>
      </c>
      <c r="C35" s="2" t="s">
        <v>31</v>
      </c>
      <c r="D35" s="2" t="s">
        <v>32</v>
      </c>
      <c r="E35" s="2" t="s">
        <v>43</v>
      </c>
      <c r="F35" s="2" t="s">
        <v>22</v>
      </c>
      <c r="G35" s="2" t="s">
        <v>16</v>
      </c>
      <c r="H35" s="2" t="s">
        <v>35</v>
      </c>
      <c r="I35">
        <v>32</v>
      </c>
      <c r="J35">
        <v>2000</v>
      </c>
      <c r="K35">
        <v>0</v>
      </c>
      <c r="L35" s="2" t="s">
        <v>178</v>
      </c>
      <c r="M35" s="2" t="s">
        <v>214</v>
      </c>
      <c r="N35" s="2" t="s">
        <v>196</v>
      </c>
      <c r="O35">
        <v>64000</v>
      </c>
      <c r="P35">
        <v>0</v>
      </c>
      <c r="Q35">
        <v>64000</v>
      </c>
      <c r="R35">
        <v>38400</v>
      </c>
      <c r="S35">
        <v>25600</v>
      </c>
      <c r="T35">
        <v>0.4</v>
      </c>
      <c r="U35" s="1">
        <v>46113</v>
      </c>
      <c r="V35">
        <v>2026</v>
      </c>
      <c r="W35" s="2" t="s">
        <v>300</v>
      </c>
      <c r="X35" s="2" t="s">
        <v>301</v>
      </c>
      <c r="Y35" s="2" t="s">
        <v>296</v>
      </c>
      <c r="Z35" s="2" t="s">
        <v>297</v>
      </c>
    </row>
    <row r="36" spans="1:26" x14ac:dyDescent="0.35">
      <c r="A36" s="2" t="s">
        <v>78</v>
      </c>
      <c r="B36" s="16">
        <v>46134</v>
      </c>
      <c r="C36" s="2" t="s">
        <v>37</v>
      </c>
      <c r="D36" s="2" t="s">
        <v>38</v>
      </c>
      <c r="E36" s="2" t="s">
        <v>14</v>
      </c>
      <c r="F36" s="2" t="s">
        <v>28</v>
      </c>
      <c r="G36" s="2" t="s">
        <v>16</v>
      </c>
      <c r="H36" s="2" t="s">
        <v>29</v>
      </c>
      <c r="I36">
        <v>6</v>
      </c>
      <c r="J36">
        <v>35000</v>
      </c>
      <c r="K36">
        <v>0.12</v>
      </c>
      <c r="L36" s="2" t="s">
        <v>179</v>
      </c>
      <c r="M36" s="2" t="s">
        <v>208</v>
      </c>
      <c r="N36" s="2" t="s">
        <v>198</v>
      </c>
      <c r="O36">
        <v>210000</v>
      </c>
      <c r="P36">
        <v>25200</v>
      </c>
      <c r="Q36">
        <v>184800</v>
      </c>
      <c r="R36">
        <v>162000</v>
      </c>
      <c r="S36">
        <v>22800</v>
      </c>
      <c r="T36">
        <v>0.12337662337662338</v>
      </c>
      <c r="U36" s="1">
        <v>46113</v>
      </c>
      <c r="V36">
        <v>2026</v>
      </c>
      <c r="W36" s="2" t="s">
        <v>303</v>
      </c>
      <c r="X36" s="2" t="s">
        <v>295</v>
      </c>
      <c r="Y36" s="2" t="s">
        <v>296</v>
      </c>
      <c r="Z36" s="2" t="s">
        <v>297</v>
      </c>
    </row>
    <row r="37" spans="1:26" x14ac:dyDescent="0.35">
      <c r="A37" s="2" t="s">
        <v>79</v>
      </c>
      <c r="B37" s="16">
        <v>46137</v>
      </c>
      <c r="C37" s="2" t="s">
        <v>41</v>
      </c>
      <c r="D37" s="2" t="s">
        <v>42</v>
      </c>
      <c r="E37" s="2" t="s">
        <v>21</v>
      </c>
      <c r="F37" s="2" t="s">
        <v>34</v>
      </c>
      <c r="G37" s="2" t="s">
        <v>16</v>
      </c>
      <c r="H37" s="2" t="s">
        <v>17</v>
      </c>
      <c r="I37">
        <v>14</v>
      </c>
      <c r="J37">
        <v>8000</v>
      </c>
      <c r="K37">
        <v>0.08</v>
      </c>
      <c r="L37" s="2" t="s">
        <v>182</v>
      </c>
      <c r="M37" s="2" t="s">
        <v>210</v>
      </c>
      <c r="N37" s="2" t="s">
        <v>199</v>
      </c>
      <c r="O37">
        <v>112000</v>
      </c>
      <c r="P37">
        <v>8960</v>
      </c>
      <c r="Q37">
        <v>103040</v>
      </c>
      <c r="R37">
        <v>72800</v>
      </c>
      <c r="S37">
        <v>30240</v>
      </c>
      <c r="T37">
        <v>0.29347826086956524</v>
      </c>
      <c r="U37" s="1">
        <v>46113</v>
      </c>
      <c r="V37">
        <v>2026</v>
      </c>
      <c r="W37" s="2" t="s">
        <v>300</v>
      </c>
      <c r="X37" s="2" t="s">
        <v>301</v>
      </c>
      <c r="Y37" s="2" t="s">
        <v>296</v>
      </c>
      <c r="Z37" s="2" t="s">
        <v>297</v>
      </c>
    </row>
    <row r="38" spans="1:26" x14ac:dyDescent="0.35">
      <c r="A38" s="2" t="s">
        <v>80</v>
      </c>
      <c r="B38" s="16">
        <v>46144</v>
      </c>
      <c r="C38" s="2" t="s">
        <v>45</v>
      </c>
      <c r="D38" s="2" t="s">
        <v>13</v>
      </c>
      <c r="E38" s="2" t="s">
        <v>27</v>
      </c>
      <c r="F38" s="2" t="s">
        <v>15</v>
      </c>
      <c r="G38" s="2" t="s">
        <v>16</v>
      </c>
      <c r="H38" s="2" t="s">
        <v>23</v>
      </c>
      <c r="I38">
        <v>8</v>
      </c>
      <c r="J38">
        <v>50000</v>
      </c>
      <c r="K38">
        <v>0.1</v>
      </c>
      <c r="L38" s="2" t="s">
        <v>169</v>
      </c>
      <c r="M38" s="2" t="s">
        <v>211</v>
      </c>
      <c r="N38" s="2" t="s">
        <v>201</v>
      </c>
      <c r="O38">
        <v>400000</v>
      </c>
      <c r="P38">
        <v>40000</v>
      </c>
      <c r="Q38">
        <v>360000</v>
      </c>
      <c r="R38">
        <v>312000</v>
      </c>
      <c r="S38">
        <v>48000</v>
      </c>
      <c r="T38">
        <v>0.13333333333333333</v>
      </c>
      <c r="U38" s="1">
        <v>46143</v>
      </c>
      <c r="V38">
        <v>2026</v>
      </c>
      <c r="W38" s="2" t="s">
        <v>300</v>
      </c>
      <c r="X38" s="2" t="s">
        <v>301</v>
      </c>
      <c r="Y38" s="2" t="s">
        <v>296</v>
      </c>
      <c r="Z38" s="2" t="s">
        <v>297</v>
      </c>
    </row>
    <row r="39" spans="1:26" x14ac:dyDescent="0.35">
      <c r="A39" s="2" t="s">
        <v>81</v>
      </c>
      <c r="B39" s="16">
        <v>46147</v>
      </c>
      <c r="C39" s="2" t="s">
        <v>47</v>
      </c>
      <c r="D39" s="2" t="s">
        <v>20</v>
      </c>
      <c r="E39" s="2" t="s">
        <v>33</v>
      </c>
      <c r="F39" s="2" t="s">
        <v>22</v>
      </c>
      <c r="G39" s="2" t="s">
        <v>16</v>
      </c>
      <c r="H39" s="2" t="s">
        <v>29</v>
      </c>
      <c r="I39">
        <v>15</v>
      </c>
      <c r="J39">
        <v>25000</v>
      </c>
      <c r="K39">
        <v>0.15</v>
      </c>
      <c r="L39" s="2" t="s">
        <v>172</v>
      </c>
      <c r="M39" s="2" t="s">
        <v>212</v>
      </c>
      <c r="N39" s="2" t="s">
        <v>202</v>
      </c>
      <c r="O39">
        <v>375000</v>
      </c>
      <c r="P39">
        <v>56250</v>
      </c>
      <c r="Q39">
        <v>318750</v>
      </c>
      <c r="R39">
        <v>285000</v>
      </c>
      <c r="S39">
        <v>33750</v>
      </c>
      <c r="T39">
        <v>0.10588235294117647</v>
      </c>
      <c r="U39" s="1">
        <v>46143</v>
      </c>
      <c r="V39">
        <v>2026</v>
      </c>
      <c r="W39" s="2" t="s">
        <v>298</v>
      </c>
      <c r="X39" s="2" t="s">
        <v>295</v>
      </c>
      <c r="Y39" s="2" t="s">
        <v>296</v>
      </c>
      <c r="Z39" s="2" t="s">
        <v>297</v>
      </c>
    </row>
    <row r="40" spans="1:26" x14ac:dyDescent="0.35">
      <c r="A40" s="2" t="s">
        <v>82</v>
      </c>
      <c r="B40" s="16">
        <v>46150</v>
      </c>
      <c r="C40" s="2" t="s">
        <v>49</v>
      </c>
      <c r="D40" s="2" t="s">
        <v>26</v>
      </c>
      <c r="E40" s="2" t="s">
        <v>39</v>
      </c>
      <c r="F40" s="2" t="s">
        <v>28</v>
      </c>
      <c r="G40" s="2" t="s">
        <v>16</v>
      </c>
      <c r="H40" s="2" t="s">
        <v>17</v>
      </c>
      <c r="I40">
        <v>25</v>
      </c>
      <c r="J40">
        <v>5000</v>
      </c>
      <c r="K40">
        <v>0.05</v>
      </c>
      <c r="L40" s="2" t="s">
        <v>175</v>
      </c>
      <c r="M40" s="2" t="s">
        <v>213</v>
      </c>
      <c r="N40" s="2" t="s">
        <v>203</v>
      </c>
      <c r="O40">
        <v>125000</v>
      </c>
      <c r="P40">
        <v>6250</v>
      </c>
      <c r="Q40">
        <v>118750</v>
      </c>
      <c r="R40">
        <v>87500</v>
      </c>
      <c r="S40">
        <v>31250</v>
      </c>
      <c r="T40">
        <v>0.26315789473684209</v>
      </c>
      <c r="U40" s="1">
        <v>46143</v>
      </c>
      <c r="V40">
        <v>2026</v>
      </c>
      <c r="W40" s="2" t="s">
        <v>304</v>
      </c>
      <c r="X40" s="2" t="s">
        <v>295</v>
      </c>
      <c r="Y40" s="2" t="s">
        <v>296</v>
      </c>
      <c r="Z40" s="2" t="s">
        <v>297</v>
      </c>
    </row>
    <row r="41" spans="1:26" x14ac:dyDescent="0.35">
      <c r="A41" s="2" t="s">
        <v>83</v>
      </c>
      <c r="B41" s="16">
        <v>46154</v>
      </c>
      <c r="C41" s="2" t="s">
        <v>51</v>
      </c>
      <c r="D41" s="2" t="s">
        <v>32</v>
      </c>
      <c r="E41" s="2" t="s">
        <v>43</v>
      </c>
      <c r="F41" s="2" t="s">
        <v>34</v>
      </c>
      <c r="G41" s="2" t="s">
        <v>16</v>
      </c>
      <c r="H41" s="2" t="s">
        <v>35</v>
      </c>
      <c r="I41">
        <v>45</v>
      </c>
      <c r="J41">
        <v>2000</v>
      </c>
      <c r="K41">
        <v>0</v>
      </c>
      <c r="L41" s="2" t="s">
        <v>178</v>
      </c>
      <c r="M41" s="2" t="s">
        <v>214</v>
      </c>
      <c r="N41" s="2" t="s">
        <v>204</v>
      </c>
      <c r="O41">
        <v>90000</v>
      </c>
      <c r="P41">
        <v>0</v>
      </c>
      <c r="Q41">
        <v>90000</v>
      </c>
      <c r="R41">
        <v>54000</v>
      </c>
      <c r="S41">
        <v>36000</v>
      </c>
      <c r="T41">
        <v>0.4</v>
      </c>
      <c r="U41" s="1">
        <v>46143</v>
      </c>
      <c r="V41">
        <v>2026</v>
      </c>
      <c r="W41" s="2" t="s">
        <v>298</v>
      </c>
      <c r="X41" s="2" t="s">
        <v>295</v>
      </c>
      <c r="Y41" s="2" t="s">
        <v>296</v>
      </c>
      <c r="Z41" s="2" t="s">
        <v>297</v>
      </c>
    </row>
    <row r="42" spans="1:26" x14ac:dyDescent="0.35">
      <c r="A42" s="2" t="s">
        <v>84</v>
      </c>
      <c r="B42" s="16">
        <v>46157</v>
      </c>
      <c r="C42" s="2" t="s">
        <v>12</v>
      </c>
      <c r="D42" s="2" t="s">
        <v>38</v>
      </c>
      <c r="E42" s="2" t="s">
        <v>14</v>
      </c>
      <c r="F42" s="2" t="s">
        <v>15</v>
      </c>
      <c r="G42" s="2" t="s">
        <v>16</v>
      </c>
      <c r="H42" s="2" t="s">
        <v>17</v>
      </c>
      <c r="I42">
        <v>7</v>
      </c>
      <c r="J42">
        <v>35000</v>
      </c>
      <c r="K42">
        <v>0.08</v>
      </c>
      <c r="L42" s="2" t="s">
        <v>179</v>
      </c>
      <c r="M42" s="2" t="s">
        <v>208</v>
      </c>
      <c r="N42" s="2" t="s">
        <v>188</v>
      </c>
      <c r="O42">
        <v>245000</v>
      </c>
      <c r="P42">
        <v>19600</v>
      </c>
      <c r="Q42">
        <v>225400</v>
      </c>
      <c r="R42">
        <v>189000</v>
      </c>
      <c r="S42">
        <v>36400</v>
      </c>
      <c r="T42">
        <v>0.16149068322981366</v>
      </c>
      <c r="U42" s="1">
        <v>46143</v>
      </c>
      <c r="V42">
        <v>2026</v>
      </c>
      <c r="W42" s="2" t="s">
        <v>304</v>
      </c>
      <c r="X42" s="2" t="s">
        <v>295</v>
      </c>
      <c r="Y42" s="2" t="s">
        <v>296</v>
      </c>
      <c r="Z42" s="2" t="s">
        <v>297</v>
      </c>
    </row>
    <row r="43" spans="1:26" x14ac:dyDescent="0.35">
      <c r="A43" s="2" t="s">
        <v>85</v>
      </c>
      <c r="B43" s="16">
        <v>46160</v>
      </c>
      <c r="C43" s="2" t="s">
        <v>19</v>
      </c>
      <c r="D43" s="2" t="s">
        <v>42</v>
      </c>
      <c r="E43" s="2" t="s">
        <v>21</v>
      </c>
      <c r="F43" s="2" t="s">
        <v>22</v>
      </c>
      <c r="G43" s="2" t="s">
        <v>16</v>
      </c>
      <c r="H43" s="2" t="s">
        <v>23</v>
      </c>
      <c r="I43">
        <v>18</v>
      </c>
      <c r="J43">
        <v>8000</v>
      </c>
      <c r="K43">
        <v>0.05</v>
      </c>
      <c r="L43" s="2" t="s">
        <v>182</v>
      </c>
      <c r="M43" s="2" t="s">
        <v>210</v>
      </c>
      <c r="N43" s="2" t="s">
        <v>191</v>
      </c>
      <c r="O43">
        <v>144000</v>
      </c>
      <c r="P43">
        <v>7200</v>
      </c>
      <c r="Q43">
        <v>136800</v>
      </c>
      <c r="R43">
        <v>93600</v>
      </c>
      <c r="S43">
        <v>43200</v>
      </c>
      <c r="T43">
        <v>0.31578947368421051</v>
      </c>
      <c r="U43" s="1">
        <v>46143</v>
      </c>
      <c r="V43">
        <v>2026</v>
      </c>
      <c r="W43" s="2" t="s">
        <v>294</v>
      </c>
      <c r="X43" s="2" t="s">
        <v>295</v>
      </c>
      <c r="Y43" s="2" t="s">
        <v>296</v>
      </c>
      <c r="Z43" s="2" t="s">
        <v>297</v>
      </c>
    </row>
    <row r="44" spans="1:26" x14ac:dyDescent="0.35">
      <c r="A44" s="2" t="s">
        <v>86</v>
      </c>
      <c r="B44" s="16">
        <v>46162</v>
      </c>
      <c r="C44" s="2" t="s">
        <v>25</v>
      </c>
      <c r="D44" s="2" t="s">
        <v>13</v>
      </c>
      <c r="E44" s="2" t="s">
        <v>27</v>
      </c>
      <c r="F44" s="2" t="s">
        <v>28</v>
      </c>
      <c r="G44" s="2" t="s">
        <v>16</v>
      </c>
      <c r="H44" s="2" t="s">
        <v>29</v>
      </c>
      <c r="I44">
        <v>4</v>
      </c>
      <c r="J44">
        <v>50000</v>
      </c>
      <c r="K44">
        <v>0.05</v>
      </c>
      <c r="L44" s="2" t="s">
        <v>169</v>
      </c>
      <c r="M44" s="2" t="s">
        <v>211</v>
      </c>
      <c r="N44" s="2" t="s">
        <v>194</v>
      </c>
      <c r="O44">
        <v>200000</v>
      </c>
      <c r="P44">
        <v>10000</v>
      </c>
      <c r="Q44">
        <v>190000</v>
      </c>
      <c r="R44">
        <v>156000</v>
      </c>
      <c r="S44">
        <v>34000</v>
      </c>
      <c r="T44">
        <v>0.17894736842105263</v>
      </c>
      <c r="U44" s="1">
        <v>46143</v>
      </c>
      <c r="V44">
        <v>2026</v>
      </c>
      <c r="W44" s="2" t="s">
        <v>303</v>
      </c>
      <c r="X44" s="2" t="s">
        <v>295</v>
      </c>
      <c r="Y44" s="2" t="s">
        <v>296</v>
      </c>
      <c r="Z44" s="2" t="s">
        <v>297</v>
      </c>
    </row>
    <row r="45" spans="1:26" x14ac:dyDescent="0.35">
      <c r="A45" s="2" t="s">
        <v>87</v>
      </c>
      <c r="B45" s="16">
        <v>46167</v>
      </c>
      <c r="C45" s="2" t="s">
        <v>31</v>
      </c>
      <c r="D45" s="2" t="s">
        <v>20</v>
      </c>
      <c r="E45" s="2" t="s">
        <v>33</v>
      </c>
      <c r="F45" s="2" t="s">
        <v>34</v>
      </c>
      <c r="G45" s="2" t="s">
        <v>16</v>
      </c>
      <c r="H45" s="2" t="s">
        <v>17</v>
      </c>
      <c r="I45">
        <v>13</v>
      </c>
      <c r="J45">
        <v>25000</v>
      </c>
      <c r="K45">
        <v>0.1</v>
      </c>
      <c r="L45" s="2" t="s">
        <v>172</v>
      </c>
      <c r="M45" s="2" t="s">
        <v>212</v>
      </c>
      <c r="N45" s="2" t="s">
        <v>196</v>
      </c>
      <c r="O45">
        <v>325000</v>
      </c>
      <c r="P45">
        <v>32500</v>
      </c>
      <c r="Q45">
        <v>292500</v>
      </c>
      <c r="R45">
        <v>247000</v>
      </c>
      <c r="S45">
        <v>45500</v>
      </c>
      <c r="T45">
        <v>0.15555555555555556</v>
      </c>
      <c r="U45" s="1">
        <v>46143</v>
      </c>
      <c r="V45">
        <v>2026</v>
      </c>
      <c r="W45" s="2" t="s">
        <v>294</v>
      </c>
      <c r="X45" s="2" t="s">
        <v>295</v>
      </c>
      <c r="Y45" s="2" t="s">
        <v>296</v>
      </c>
      <c r="Z45" s="2" t="s">
        <v>297</v>
      </c>
    </row>
    <row r="46" spans="1:26" x14ac:dyDescent="0.35">
      <c r="A46" s="2" t="s">
        <v>88</v>
      </c>
      <c r="B46" s="16">
        <v>46175</v>
      </c>
      <c r="C46" s="2" t="s">
        <v>37</v>
      </c>
      <c r="D46" s="2" t="s">
        <v>26</v>
      </c>
      <c r="E46" s="2" t="s">
        <v>39</v>
      </c>
      <c r="F46" s="2" t="s">
        <v>15</v>
      </c>
      <c r="G46" s="2" t="s">
        <v>16</v>
      </c>
      <c r="H46" s="2" t="s">
        <v>23</v>
      </c>
      <c r="I46">
        <v>35</v>
      </c>
      <c r="J46">
        <v>5000</v>
      </c>
      <c r="K46">
        <v>0.08</v>
      </c>
      <c r="L46" s="2" t="s">
        <v>175</v>
      </c>
      <c r="M46" s="2" t="s">
        <v>213</v>
      </c>
      <c r="N46" s="2" t="s">
        <v>198</v>
      </c>
      <c r="O46">
        <v>175000</v>
      </c>
      <c r="P46">
        <v>14000</v>
      </c>
      <c r="Q46">
        <v>161000</v>
      </c>
      <c r="R46">
        <v>122500</v>
      </c>
      <c r="S46">
        <v>38500</v>
      </c>
      <c r="T46">
        <v>0.2391304347826087</v>
      </c>
      <c r="U46" s="1">
        <v>46174</v>
      </c>
      <c r="V46">
        <v>2026</v>
      </c>
      <c r="W46" s="2" t="s">
        <v>298</v>
      </c>
      <c r="X46" s="2" t="s">
        <v>295</v>
      </c>
      <c r="Y46" s="2" t="s">
        <v>296</v>
      </c>
      <c r="Z46" s="2" t="s">
        <v>297</v>
      </c>
    </row>
    <row r="47" spans="1:26" x14ac:dyDescent="0.35">
      <c r="A47" s="2" t="s">
        <v>89</v>
      </c>
      <c r="B47" s="16">
        <v>46178</v>
      </c>
      <c r="C47" s="2" t="s">
        <v>41</v>
      </c>
      <c r="D47" s="2" t="s">
        <v>32</v>
      </c>
      <c r="E47" s="2" t="s">
        <v>43</v>
      </c>
      <c r="F47" s="2" t="s">
        <v>22</v>
      </c>
      <c r="G47" s="2" t="s">
        <v>16</v>
      </c>
      <c r="H47" s="2" t="s">
        <v>35</v>
      </c>
      <c r="I47">
        <v>38</v>
      </c>
      <c r="J47">
        <v>2000</v>
      </c>
      <c r="K47">
        <v>0</v>
      </c>
      <c r="L47" s="2" t="s">
        <v>178</v>
      </c>
      <c r="M47" s="2" t="s">
        <v>214</v>
      </c>
      <c r="N47" s="2" t="s">
        <v>199</v>
      </c>
      <c r="O47">
        <v>76000</v>
      </c>
      <c r="P47">
        <v>0</v>
      </c>
      <c r="Q47">
        <v>76000</v>
      </c>
      <c r="R47">
        <v>45600</v>
      </c>
      <c r="S47">
        <v>30400</v>
      </c>
      <c r="T47">
        <v>0.4</v>
      </c>
      <c r="U47" s="1">
        <v>46174</v>
      </c>
      <c r="V47">
        <v>2026</v>
      </c>
      <c r="W47" s="2" t="s">
        <v>304</v>
      </c>
      <c r="X47" s="2" t="s">
        <v>295</v>
      </c>
      <c r="Y47" s="2" t="s">
        <v>296</v>
      </c>
      <c r="Z47" s="2" t="s">
        <v>297</v>
      </c>
    </row>
    <row r="48" spans="1:26" x14ac:dyDescent="0.35">
      <c r="A48" s="2" t="s">
        <v>90</v>
      </c>
      <c r="B48" s="16">
        <v>46181</v>
      </c>
      <c r="C48" s="2" t="s">
        <v>45</v>
      </c>
      <c r="D48" s="2" t="s">
        <v>38</v>
      </c>
      <c r="E48" s="2" t="s">
        <v>14</v>
      </c>
      <c r="F48" s="2" t="s">
        <v>28</v>
      </c>
      <c r="G48" s="2" t="s">
        <v>16</v>
      </c>
      <c r="H48" s="2" t="s">
        <v>29</v>
      </c>
      <c r="I48">
        <v>10</v>
      </c>
      <c r="J48">
        <v>35000</v>
      </c>
      <c r="K48">
        <v>0.1</v>
      </c>
      <c r="L48" s="2" t="s">
        <v>179</v>
      </c>
      <c r="M48" s="2" t="s">
        <v>208</v>
      </c>
      <c r="N48" s="2" t="s">
        <v>201</v>
      </c>
      <c r="O48">
        <v>350000</v>
      </c>
      <c r="P48">
        <v>35000</v>
      </c>
      <c r="Q48">
        <v>315000</v>
      </c>
      <c r="R48">
        <v>270000</v>
      </c>
      <c r="S48">
        <v>45000</v>
      </c>
      <c r="T48">
        <v>0.14285714285714285</v>
      </c>
      <c r="U48" s="1">
        <v>46174</v>
      </c>
      <c r="V48">
        <v>2026</v>
      </c>
      <c r="W48" s="2" t="s">
        <v>294</v>
      </c>
      <c r="X48" s="2" t="s">
        <v>295</v>
      </c>
      <c r="Y48" s="2" t="s">
        <v>296</v>
      </c>
      <c r="Z48" s="2" t="s">
        <v>297</v>
      </c>
    </row>
    <row r="49" spans="1:26" x14ac:dyDescent="0.35">
      <c r="A49" s="2" t="s">
        <v>91</v>
      </c>
      <c r="B49" s="16">
        <v>46185</v>
      </c>
      <c r="C49" s="2" t="s">
        <v>47</v>
      </c>
      <c r="D49" s="2" t="s">
        <v>42</v>
      </c>
      <c r="E49" s="2" t="s">
        <v>21</v>
      </c>
      <c r="F49" s="2" t="s">
        <v>34</v>
      </c>
      <c r="G49" s="2" t="s">
        <v>16</v>
      </c>
      <c r="H49" s="2" t="s">
        <v>17</v>
      </c>
      <c r="I49">
        <v>20</v>
      </c>
      <c r="J49">
        <v>8000</v>
      </c>
      <c r="K49">
        <v>0.05</v>
      </c>
      <c r="L49" s="2" t="s">
        <v>182</v>
      </c>
      <c r="M49" s="2" t="s">
        <v>210</v>
      </c>
      <c r="N49" s="2" t="s">
        <v>202</v>
      </c>
      <c r="O49">
        <v>160000</v>
      </c>
      <c r="P49">
        <v>8000</v>
      </c>
      <c r="Q49">
        <v>152000</v>
      </c>
      <c r="R49">
        <v>104000</v>
      </c>
      <c r="S49">
        <v>48000</v>
      </c>
      <c r="T49">
        <v>0.31578947368421051</v>
      </c>
      <c r="U49" s="1">
        <v>46174</v>
      </c>
      <c r="V49">
        <v>2026</v>
      </c>
      <c r="W49" s="2" t="s">
        <v>304</v>
      </c>
      <c r="X49" s="2" t="s">
        <v>295</v>
      </c>
      <c r="Y49" s="2" t="s">
        <v>296</v>
      </c>
      <c r="Z49" s="2" t="s">
        <v>297</v>
      </c>
    </row>
    <row r="50" spans="1:26" x14ac:dyDescent="0.35">
      <c r="A50" s="2" t="s">
        <v>92</v>
      </c>
      <c r="B50" s="16">
        <v>46188</v>
      </c>
      <c r="C50" s="2" t="s">
        <v>49</v>
      </c>
      <c r="D50" s="2" t="s">
        <v>13</v>
      </c>
      <c r="E50" s="2" t="s">
        <v>27</v>
      </c>
      <c r="F50" s="2" t="s">
        <v>15</v>
      </c>
      <c r="G50" s="2" t="s">
        <v>16</v>
      </c>
      <c r="H50" s="2" t="s">
        <v>23</v>
      </c>
      <c r="I50">
        <v>6</v>
      </c>
      <c r="J50">
        <v>50000</v>
      </c>
      <c r="K50">
        <v>0.12</v>
      </c>
      <c r="L50" s="2" t="s">
        <v>169</v>
      </c>
      <c r="M50" s="2" t="s">
        <v>211</v>
      </c>
      <c r="N50" s="2" t="s">
        <v>203</v>
      </c>
      <c r="O50">
        <v>300000</v>
      </c>
      <c r="P50">
        <v>36000</v>
      </c>
      <c r="Q50">
        <v>264000</v>
      </c>
      <c r="R50">
        <v>234000</v>
      </c>
      <c r="S50">
        <v>30000</v>
      </c>
      <c r="T50">
        <v>0.11363636363636363</v>
      </c>
      <c r="U50" s="1">
        <v>46174</v>
      </c>
      <c r="V50">
        <v>2026</v>
      </c>
      <c r="W50" s="2" t="s">
        <v>294</v>
      </c>
      <c r="X50" s="2" t="s">
        <v>295</v>
      </c>
      <c r="Y50" s="2" t="s">
        <v>296</v>
      </c>
      <c r="Z50" s="2" t="s">
        <v>297</v>
      </c>
    </row>
    <row r="51" spans="1:26" x14ac:dyDescent="0.35">
      <c r="A51" s="2" t="s">
        <v>93</v>
      </c>
      <c r="B51" s="16">
        <v>46191</v>
      </c>
      <c r="C51" s="2" t="s">
        <v>51</v>
      </c>
      <c r="D51" s="2" t="s">
        <v>20</v>
      </c>
      <c r="E51" s="2" t="s">
        <v>33</v>
      </c>
      <c r="F51" s="2" t="s">
        <v>22</v>
      </c>
      <c r="G51" s="2" t="s">
        <v>16</v>
      </c>
      <c r="H51" s="2" t="s">
        <v>29</v>
      </c>
      <c r="I51">
        <v>16</v>
      </c>
      <c r="J51">
        <v>25000</v>
      </c>
      <c r="K51">
        <v>0.08</v>
      </c>
      <c r="L51" s="2" t="s">
        <v>172</v>
      </c>
      <c r="M51" s="2" t="s">
        <v>212</v>
      </c>
      <c r="N51" s="2" t="s">
        <v>204</v>
      </c>
      <c r="O51">
        <v>400000</v>
      </c>
      <c r="P51">
        <v>32000</v>
      </c>
      <c r="Q51">
        <v>368000</v>
      </c>
      <c r="R51">
        <v>304000</v>
      </c>
      <c r="S51">
        <v>64000</v>
      </c>
      <c r="T51">
        <v>0.17391304347826086</v>
      </c>
      <c r="U51" s="1">
        <v>46174</v>
      </c>
      <c r="V51">
        <v>2026</v>
      </c>
      <c r="W51" s="2" t="s">
        <v>299</v>
      </c>
      <c r="X51" s="2" t="s">
        <v>295</v>
      </c>
      <c r="Y51" s="2" t="s">
        <v>296</v>
      </c>
      <c r="Z51" s="2" t="s">
        <v>297</v>
      </c>
    </row>
    <row r="52" spans="1:26" x14ac:dyDescent="0.35">
      <c r="A52" s="2" t="s">
        <v>94</v>
      </c>
      <c r="B52" s="16">
        <v>46195</v>
      </c>
      <c r="C52" s="2" t="s">
        <v>12</v>
      </c>
      <c r="D52" s="2" t="s">
        <v>26</v>
      </c>
      <c r="E52" s="2" t="s">
        <v>39</v>
      </c>
      <c r="F52" s="2" t="s">
        <v>28</v>
      </c>
      <c r="G52" s="2" t="s">
        <v>16</v>
      </c>
      <c r="H52" s="2" t="s">
        <v>17</v>
      </c>
      <c r="I52">
        <v>30</v>
      </c>
      <c r="J52">
        <v>5000</v>
      </c>
      <c r="K52">
        <v>0.05</v>
      </c>
      <c r="L52" s="2" t="s">
        <v>175</v>
      </c>
      <c r="M52" s="2" t="s">
        <v>213</v>
      </c>
      <c r="N52" s="2" t="s">
        <v>188</v>
      </c>
      <c r="O52">
        <v>150000</v>
      </c>
      <c r="P52">
        <v>7500</v>
      </c>
      <c r="Q52">
        <v>142500</v>
      </c>
      <c r="R52">
        <v>105000</v>
      </c>
      <c r="S52">
        <v>37500</v>
      </c>
      <c r="T52">
        <v>0.26315789473684209</v>
      </c>
      <c r="U52" s="1">
        <v>46174</v>
      </c>
      <c r="V52">
        <v>2026</v>
      </c>
      <c r="W52" s="2" t="s">
        <v>294</v>
      </c>
      <c r="X52" s="2" t="s">
        <v>295</v>
      </c>
      <c r="Y52" s="2" t="s">
        <v>296</v>
      </c>
      <c r="Z52" s="2" t="s">
        <v>297</v>
      </c>
    </row>
    <row r="53" spans="1:26" x14ac:dyDescent="0.35">
      <c r="A53" s="2" t="s">
        <v>95</v>
      </c>
      <c r="B53" s="16">
        <v>46198</v>
      </c>
      <c r="C53" s="2" t="s">
        <v>19</v>
      </c>
      <c r="D53" s="2" t="s">
        <v>32</v>
      </c>
      <c r="E53" s="2" t="s">
        <v>43</v>
      </c>
      <c r="F53" s="2" t="s">
        <v>34</v>
      </c>
      <c r="G53" s="2" t="s">
        <v>16</v>
      </c>
      <c r="H53" s="2" t="s">
        <v>35</v>
      </c>
      <c r="I53">
        <v>42</v>
      </c>
      <c r="J53">
        <v>2000</v>
      </c>
      <c r="K53">
        <v>0</v>
      </c>
      <c r="L53" s="2" t="s">
        <v>178</v>
      </c>
      <c r="M53" s="2" t="s">
        <v>214</v>
      </c>
      <c r="N53" s="2" t="s">
        <v>191</v>
      </c>
      <c r="O53">
        <v>84000</v>
      </c>
      <c r="P53">
        <v>0</v>
      </c>
      <c r="Q53">
        <v>84000</v>
      </c>
      <c r="R53">
        <v>50400</v>
      </c>
      <c r="S53">
        <v>33600</v>
      </c>
      <c r="T53">
        <v>0.4</v>
      </c>
      <c r="U53" s="1">
        <v>46174</v>
      </c>
      <c r="V53">
        <v>2026</v>
      </c>
      <c r="W53" s="2" t="s">
        <v>299</v>
      </c>
      <c r="X53" s="2" t="s">
        <v>295</v>
      </c>
      <c r="Y53" s="2" t="s">
        <v>296</v>
      </c>
      <c r="Z53" s="2" t="s">
        <v>297</v>
      </c>
    </row>
    <row r="54" spans="1:26" x14ac:dyDescent="0.35">
      <c r="A54" s="2" t="s">
        <v>96</v>
      </c>
      <c r="B54" s="16">
        <v>46205</v>
      </c>
      <c r="C54" s="2" t="s">
        <v>25</v>
      </c>
      <c r="D54" s="2" t="s">
        <v>38</v>
      </c>
      <c r="E54" s="2" t="s">
        <v>14</v>
      </c>
      <c r="F54" s="2" t="s">
        <v>15</v>
      </c>
      <c r="G54" s="2" t="s">
        <v>16</v>
      </c>
      <c r="H54" s="2" t="s">
        <v>17</v>
      </c>
      <c r="I54">
        <v>8</v>
      </c>
      <c r="J54">
        <v>35000</v>
      </c>
      <c r="K54">
        <v>0.1</v>
      </c>
      <c r="L54" s="2" t="s">
        <v>179</v>
      </c>
      <c r="M54" s="2" t="s">
        <v>208</v>
      </c>
      <c r="N54" s="2" t="s">
        <v>194</v>
      </c>
      <c r="O54">
        <v>280000</v>
      </c>
      <c r="P54">
        <v>28000</v>
      </c>
      <c r="Q54">
        <v>252000</v>
      </c>
      <c r="R54">
        <v>216000</v>
      </c>
      <c r="S54">
        <v>36000</v>
      </c>
      <c r="T54">
        <v>0.14285714285714285</v>
      </c>
      <c r="U54" s="1">
        <v>46204</v>
      </c>
      <c r="V54">
        <v>2026</v>
      </c>
      <c r="W54" s="2" t="s">
        <v>299</v>
      </c>
      <c r="X54" s="2" t="s">
        <v>295</v>
      </c>
      <c r="Y54" s="2" t="s">
        <v>296</v>
      </c>
      <c r="Z54" s="2" t="s">
        <v>297</v>
      </c>
    </row>
    <row r="55" spans="1:26" x14ac:dyDescent="0.35">
      <c r="A55" s="2" t="s">
        <v>97</v>
      </c>
      <c r="B55" s="16">
        <v>46208</v>
      </c>
      <c r="C55" s="2" t="s">
        <v>31</v>
      </c>
      <c r="D55" s="2" t="s">
        <v>42</v>
      </c>
      <c r="E55" s="2" t="s">
        <v>21</v>
      </c>
      <c r="F55" s="2" t="s">
        <v>22</v>
      </c>
      <c r="G55" s="2" t="s">
        <v>16</v>
      </c>
      <c r="H55" s="2" t="s">
        <v>23</v>
      </c>
      <c r="I55">
        <v>22</v>
      </c>
      <c r="J55">
        <v>8000</v>
      </c>
      <c r="K55">
        <v>0.05</v>
      </c>
      <c r="L55" s="2" t="s">
        <v>182</v>
      </c>
      <c r="M55" s="2" t="s">
        <v>210</v>
      </c>
      <c r="N55" s="2" t="s">
        <v>196</v>
      </c>
      <c r="O55">
        <v>176000</v>
      </c>
      <c r="P55">
        <v>8800</v>
      </c>
      <c r="Q55">
        <v>167200</v>
      </c>
      <c r="R55">
        <v>114400</v>
      </c>
      <c r="S55">
        <v>52800</v>
      </c>
      <c r="T55">
        <v>0.31578947368421051</v>
      </c>
      <c r="U55" s="1">
        <v>46204</v>
      </c>
      <c r="V55">
        <v>2026</v>
      </c>
      <c r="W55" s="2" t="s">
        <v>302</v>
      </c>
      <c r="X55" s="2" t="s">
        <v>301</v>
      </c>
      <c r="Y55" s="2" t="s">
        <v>296</v>
      </c>
      <c r="Z55" s="2" t="s">
        <v>297</v>
      </c>
    </row>
    <row r="56" spans="1:26" x14ac:dyDescent="0.35">
      <c r="A56" s="2" t="s">
        <v>98</v>
      </c>
      <c r="B56" s="16">
        <v>46211</v>
      </c>
      <c r="C56" s="2" t="s">
        <v>37</v>
      </c>
      <c r="D56" s="2" t="s">
        <v>13</v>
      </c>
      <c r="E56" s="2" t="s">
        <v>27</v>
      </c>
      <c r="F56" s="2" t="s">
        <v>28</v>
      </c>
      <c r="G56" s="2" t="s">
        <v>57</v>
      </c>
      <c r="H56" s="2" t="s">
        <v>29</v>
      </c>
      <c r="I56">
        <v>5</v>
      </c>
      <c r="J56">
        <v>50000</v>
      </c>
      <c r="K56">
        <v>0.08</v>
      </c>
      <c r="L56" s="2" t="s">
        <v>169</v>
      </c>
      <c r="M56" s="2" t="s">
        <v>211</v>
      </c>
      <c r="N56" s="2" t="s">
        <v>198</v>
      </c>
      <c r="O56">
        <v>250000</v>
      </c>
      <c r="P56">
        <v>20000</v>
      </c>
      <c r="Q56">
        <v>230000</v>
      </c>
      <c r="R56">
        <v>195000</v>
      </c>
      <c r="S56">
        <v>35000</v>
      </c>
      <c r="T56">
        <v>0.15217391304347827</v>
      </c>
      <c r="U56" s="1">
        <v>46204</v>
      </c>
      <c r="V56">
        <v>2026</v>
      </c>
      <c r="W56" s="2" t="s">
        <v>303</v>
      </c>
      <c r="X56" s="2" t="s">
        <v>295</v>
      </c>
      <c r="Y56" s="2" t="s">
        <v>297</v>
      </c>
      <c r="Z56" s="2" t="s">
        <v>305</v>
      </c>
    </row>
    <row r="57" spans="1:26" x14ac:dyDescent="0.35">
      <c r="A57" s="2" t="s">
        <v>99</v>
      </c>
      <c r="B57" s="16">
        <v>46215</v>
      </c>
      <c r="C57" s="2" t="s">
        <v>41</v>
      </c>
      <c r="D57" s="2" t="s">
        <v>20</v>
      </c>
      <c r="E57" s="2" t="s">
        <v>33</v>
      </c>
      <c r="F57" s="2" t="s">
        <v>34</v>
      </c>
      <c r="G57" s="2" t="s">
        <v>16</v>
      </c>
      <c r="H57" s="2" t="s">
        <v>17</v>
      </c>
      <c r="I57">
        <v>14</v>
      </c>
      <c r="J57">
        <v>25000</v>
      </c>
      <c r="K57">
        <v>0.12</v>
      </c>
      <c r="L57" s="2" t="s">
        <v>172</v>
      </c>
      <c r="M57" s="2" t="s">
        <v>212</v>
      </c>
      <c r="N57" s="2" t="s">
        <v>199</v>
      </c>
      <c r="O57">
        <v>350000</v>
      </c>
      <c r="P57">
        <v>42000</v>
      </c>
      <c r="Q57">
        <v>308000</v>
      </c>
      <c r="R57">
        <v>266000</v>
      </c>
      <c r="S57">
        <v>42000</v>
      </c>
      <c r="T57">
        <v>0.13636363636363635</v>
      </c>
      <c r="U57" s="1">
        <v>46204</v>
      </c>
      <c r="V57">
        <v>2026</v>
      </c>
      <c r="W57" s="2" t="s">
        <v>302</v>
      </c>
      <c r="X57" s="2" t="s">
        <v>301</v>
      </c>
      <c r="Y57" s="2" t="s">
        <v>296</v>
      </c>
      <c r="Z57" s="2" t="s">
        <v>297</v>
      </c>
    </row>
    <row r="58" spans="1:26" x14ac:dyDescent="0.35">
      <c r="A58" s="2" t="s">
        <v>100</v>
      </c>
      <c r="B58" s="16">
        <v>46218</v>
      </c>
      <c r="C58" s="2" t="s">
        <v>45</v>
      </c>
      <c r="D58" s="2" t="s">
        <v>26</v>
      </c>
      <c r="E58" s="2" t="s">
        <v>39</v>
      </c>
      <c r="F58" s="2" t="s">
        <v>15</v>
      </c>
      <c r="G58" s="2" t="s">
        <v>16</v>
      </c>
      <c r="H58" s="2" t="s">
        <v>23</v>
      </c>
      <c r="I58">
        <v>32</v>
      </c>
      <c r="J58">
        <v>5000</v>
      </c>
      <c r="K58">
        <v>0.05</v>
      </c>
      <c r="L58" s="2" t="s">
        <v>175</v>
      </c>
      <c r="M58" s="2" t="s">
        <v>213</v>
      </c>
      <c r="N58" s="2" t="s">
        <v>201</v>
      </c>
      <c r="O58">
        <v>160000</v>
      </c>
      <c r="P58">
        <v>8000</v>
      </c>
      <c r="Q58">
        <v>152000</v>
      </c>
      <c r="R58">
        <v>112000</v>
      </c>
      <c r="S58">
        <v>40000</v>
      </c>
      <c r="T58">
        <v>0.26315789473684209</v>
      </c>
      <c r="U58" s="1">
        <v>46204</v>
      </c>
      <c r="V58">
        <v>2026</v>
      </c>
      <c r="W58" s="2" t="s">
        <v>303</v>
      </c>
      <c r="X58" s="2" t="s">
        <v>295</v>
      </c>
      <c r="Y58" s="2" t="s">
        <v>296</v>
      </c>
      <c r="Z58" s="2" t="s">
        <v>297</v>
      </c>
    </row>
    <row r="59" spans="1:26" x14ac:dyDescent="0.35">
      <c r="A59" s="2" t="s">
        <v>101</v>
      </c>
      <c r="B59" s="16">
        <v>46221</v>
      </c>
      <c r="C59" s="2" t="s">
        <v>47</v>
      </c>
      <c r="D59" s="2" t="s">
        <v>32</v>
      </c>
      <c r="E59" s="2" t="s">
        <v>43</v>
      </c>
      <c r="F59" s="2" t="s">
        <v>22</v>
      </c>
      <c r="G59" s="2" t="s">
        <v>16</v>
      </c>
      <c r="H59" s="2" t="s">
        <v>35</v>
      </c>
      <c r="I59">
        <v>40</v>
      </c>
      <c r="J59">
        <v>2000</v>
      </c>
      <c r="K59">
        <v>0</v>
      </c>
      <c r="L59" s="2" t="s">
        <v>178</v>
      </c>
      <c r="M59" s="2" t="s">
        <v>214</v>
      </c>
      <c r="N59" s="2" t="s">
        <v>202</v>
      </c>
      <c r="O59">
        <v>80000</v>
      </c>
      <c r="P59">
        <v>0</v>
      </c>
      <c r="Q59">
        <v>80000</v>
      </c>
      <c r="R59">
        <v>48000</v>
      </c>
      <c r="S59">
        <v>32000</v>
      </c>
      <c r="T59">
        <v>0.4</v>
      </c>
      <c r="U59" s="1">
        <v>46204</v>
      </c>
      <c r="V59">
        <v>2026</v>
      </c>
      <c r="W59" s="2" t="s">
        <v>300</v>
      </c>
      <c r="X59" s="2" t="s">
        <v>301</v>
      </c>
      <c r="Y59" s="2" t="s">
        <v>296</v>
      </c>
      <c r="Z59" s="2" t="s">
        <v>297</v>
      </c>
    </row>
    <row r="60" spans="1:26" x14ac:dyDescent="0.35">
      <c r="A60" s="2" t="s">
        <v>102</v>
      </c>
      <c r="B60" s="16">
        <v>46225</v>
      </c>
      <c r="C60" s="2" t="s">
        <v>49</v>
      </c>
      <c r="D60" s="2" t="s">
        <v>38</v>
      </c>
      <c r="E60" s="2" t="s">
        <v>14</v>
      </c>
      <c r="F60" s="2" t="s">
        <v>28</v>
      </c>
      <c r="G60" s="2" t="s">
        <v>16</v>
      </c>
      <c r="H60" s="2" t="s">
        <v>29</v>
      </c>
      <c r="I60">
        <v>9</v>
      </c>
      <c r="J60">
        <v>35000</v>
      </c>
      <c r="K60">
        <v>0.1</v>
      </c>
      <c r="L60" s="2" t="s">
        <v>179</v>
      </c>
      <c r="M60" s="2" t="s">
        <v>208</v>
      </c>
      <c r="N60" s="2" t="s">
        <v>203</v>
      </c>
      <c r="O60">
        <v>315000</v>
      </c>
      <c r="P60">
        <v>31500</v>
      </c>
      <c r="Q60">
        <v>283500</v>
      </c>
      <c r="R60">
        <v>243000</v>
      </c>
      <c r="S60">
        <v>40500</v>
      </c>
      <c r="T60">
        <v>0.14285714285714285</v>
      </c>
      <c r="U60" s="1">
        <v>46204</v>
      </c>
      <c r="V60">
        <v>2026</v>
      </c>
      <c r="W60" s="2" t="s">
        <v>303</v>
      </c>
      <c r="X60" s="2" t="s">
        <v>295</v>
      </c>
      <c r="Y60" s="2" t="s">
        <v>296</v>
      </c>
      <c r="Z60" s="2" t="s">
        <v>297</v>
      </c>
    </row>
    <row r="61" spans="1:26" x14ac:dyDescent="0.35">
      <c r="A61" s="2" t="s">
        <v>103</v>
      </c>
      <c r="B61" s="16">
        <v>46228</v>
      </c>
      <c r="C61" s="2" t="s">
        <v>51</v>
      </c>
      <c r="D61" s="2" t="s">
        <v>42</v>
      </c>
      <c r="E61" s="2" t="s">
        <v>21</v>
      </c>
      <c r="F61" s="2" t="s">
        <v>34</v>
      </c>
      <c r="G61" s="2" t="s">
        <v>16</v>
      </c>
      <c r="H61" s="2" t="s">
        <v>17</v>
      </c>
      <c r="I61">
        <v>19</v>
      </c>
      <c r="J61">
        <v>8000</v>
      </c>
      <c r="K61">
        <v>0.05</v>
      </c>
      <c r="L61" s="2" t="s">
        <v>182</v>
      </c>
      <c r="M61" s="2" t="s">
        <v>210</v>
      </c>
      <c r="N61" s="2" t="s">
        <v>204</v>
      </c>
      <c r="O61">
        <v>152000</v>
      </c>
      <c r="P61">
        <v>7600</v>
      </c>
      <c r="Q61">
        <v>144400</v>
      </c>
      <c r="R61">
        <v>98800</v>
      </c>
      <c r="S61">
        <v>45600</v>
      </c>
      <c r="T61">
        <v>0.31578947368421051</v>
      </c>
      <c r="U61" s="1">
        <v>46204</v>
      </c>
      <c r="V61">
        <v>2026</v>
      </c>
      <c r="W61" s="2" t="s">
        <v>300</v>
      </c>
      <c r="X61" s="2" t="s">
        <v>301</v>
      </c>
      <c r="Y61" s="2" t="s">
        <v>296</v>
      </c>
      <c r="Z61" s="2" t="s">
        <v>297</v>
      </c>
    </row>
    <row r="62" spans="1:26" x14ac:dyDescent="0.35">
      <c r="A62" s="2" t="s">
        <v>104</v>
      </c>
      <c r="B62" s="16">
        <v>46236</v>
      </c>
      <c r="C62" s="2" t="s">
        <v>12</v>
      </c>
      <c r="D62" s="2" t="s">
        <v>13</v>
      </c>
      <c r="E62" s="2" t="s">
        <v>27</v>
      </c>
      <c r="F62" s="2" t="s">
        <v>15</v>
      </c>
      <c r="G62" s="2" t="s">
        <v>16</v>
      </c>
      <c r="H62" s="2" t="s">
        <v>23</v>
      </c>
      <c r="I62">
        <v>7</v>
      </c>
      <c r="J62">
        <v>50000</v>
      </c>
      <c r="K62">
        <v>0.1</v>
      </c>
      <c r="L62" s="2" t="s">
        <v>169</v>
      </c>
      <c r="M62" s="2" t="s">
        <v>211</v>
      </c>
      <c r="N62" s="2" t="s">
        <v>188</v>
      </c>
      <c r="O62">
        <v>350000</v>
      </c>
      <c r="P62">
        <v>35000</v>
      </c>
      <c r="Q62">
        <v>315000</v>
      </c>
      <c r="R62">
        <v>273000</v>
      </c>
      <c r="S62">
        <v>42000</v>
      </c>
      <c r="T62">
        <v>0.13333333333333333</v>
      </c>
      <c r="U62" s="1">
        <v>46235</v>
      </c>
      <c r="V62">
        <v>2026</v>
      </c>
      <c r="W62" s="2" t="s">
        <v>302</v>
      </c>
      <c r="X62" s="2" t="s">
        <v>301</v>
      </c>
      <c r="Y62" s="2" t="s">
        <v>296</v>
      </c>
      <c r="Z62" s="2" t="s">
        <v>297</v>
      </c>
    </row>
    <row r="63" spans="1:26" x14ac:dyDescent="0.35">
      <c r="A63" s="2" t="s">
        <v>105</v>
      </c>
      <c r="B63" s="16">
        <v>46239</v>
      </c>
      <c r="C63" s="2" t="s">
        <v>19</v>
      </c>
      <c r="D63" s="2" t="s">
        <v>20</v>
      </c>
      <c r="E63" s="2" t="s">
        <v>33</v>
      </c>
      <c r="F63" s="2" t="s">
        <v>22</v>
      </c>
      <c r="G63" s="2" t="s">
        <v>16</v>
      </c>
      <c r="H63" s="2" t="s">
        <v>29</v>
      </c>
      <c r="I63">
        <v>17</v>
      </c>
      <c r="J63">
        <v>25000</v>
      </c>
      <c r="K63">
        <v>0.15</v>
      </c>
      <c r="L63" s="2" t="s">
        <v>172</v>
      </c>
      <c r="M63" s="2" t="s">
        <v>212</v>
      </c>
      <c r="N63" s="2" t="s">
        <v>191</v>
      </c>
      <c r="O63">
        <v>425000</v>
      </c>
      <c r="P63">
        <v>63750</v>
      </c>
      <c r="Q63">
        <v>361250</v>
      </c>
      <c r="R63">
        <v>323000</v>
      </c>
      <c r="S63">
        <v>38250</v>
      </c>
      <c r="T63">
        <v>0.10588235294117647</v>
      </c>
      <c r="U63" s="1">
        <v>46235</v>
      </c>
      <c r="V63">
        <v>2026</v>
      </c>
      <c r="W63" s="2" t="s">
        <v>303</v>
      </c>
      <c r="X63" s="2" t="s">
        <v>295</v>
      </c>
      <c r="Y63" s="2" t="s">
        <v>296</v>
      </c>
      <c r="Z63" s="2" t="s">
        <v>297</v>
      </c>
    </row>
    <row r="64" spans="1:26" x14ac:dyDescent="0.35">
      <c r="A64" s="2" t="s">
        <v>106</v>
      </c>
      <c r="B64" s="16">
        <v>46242</v>
      </c>
      <c r="C64" s="2" t="s">
        <v>25</v>
      </c>
      <c r="D64" s="2" t="s">
        <v>26</v>
      </c>
      <c r="E64" s="2" t="s">
        <v>39</v>
      </c>
      <c r="F64" s="2" t="s">
        <v>28</v>
      </c>
      <c r="G64" s="2" t="s">
        <v>16</v>
      </c>
      <c r="H64" s="2" t="s">
        <v>17</v>
      </c>
      <c r="I64">
        <v>28</v>
      </c>
      <c r="J64">
        <v>5000</v>
      </c>
      <c r="K64">
        <v>0.05</v>
      </c>
      <c r="L64" s="2" t="s">
        <v>175</v>
      </c>
      <c r="M64" s="2" t="s">
        <v>213</v>
      </c>
      <c r="N64" s="2" t="s">
        <v>194</v>
      </c>
      <c r="O64">
        <v>140000</v>
      </c>
      <c r="P64">
        <v>7000</v>
      </c>
      <c r="Q64">
        <v>133000</v>
      </c>
      <c r="R64">
        <v>98000</v>
      </c>
      <c r="S64">
        <v>35000</v>
      </c>
      <c r="T64">
        <v>0.26315789473684209</v>
      </c>
      <c r="U64" s="1">
        <v>46235</v>
      </c>
      <c r="V64">
        <v>2026</v>
      </c>
      <c r="W64" s="2" t="s">
        <v>300</v>
      </c>
      <c r="X64" s="2" t="s">
        <v>301</v>
      </c>
      <c r="Y64" s="2" t="s">
        <v>296</v>
      </c>
      <c r="Z64" s="2" t="s">
        <v>297</v>
      </c>
    </row>
    <row r="65" spans="1:26" x14ac:dyDescent="0.35">
      <c r="A65" s="2" t="s">
        <v>107</v>
      </c>
      <c r="B65" s="16">
        <v>46246</v>
      </c>
      <c r="C65" s="2" t="s">
        <v>31</v>
      </c>
      <c r="D65" s="2" t="s">
        <v>32</v>
      </c>
      <c r="E65" s="2" t="s">
        <v>43</v>
      </c>
      <c r="F65" s="2" t="s">
        <v>34</v>
      </c>
      <c r="G65" s="2" t="s">
        <v>16</v>
      </c>
      <c r="H65" s="2" t="s">
        <v>35</v>
      </c>
      <c r="I65">
        <v>50</v>
      </c>
      <c r="J65">
        <v>2000</v>
      </c>
      <c r="K65">
        <v>0</v>
      </c>
      <c r="L65" s="2" t="s">
        <v>178</v>
      </c>
      <c r="M65" s="2" t="s">
        <v>214</v>
      </c>
      <c r="N65" s="2" t="s">
        <v>196</v>
      </c>
      <c r="O65">
        <v>100000</v>
      </c>
      <c r="P65">
        <v>0</v>
      </c>
      <c r="Q65">
        <v>100000</v>
      </c>
      <c r="R65">
        <v>60000</v>
      </c>
      <c r="S65">
        <v>40000</v>
      </c>
      <c r="T65">
        <v>0.4</v>
      </c>
      <c r="U65" s="1">
        <v>46235</v>
      </c>
      <c r="V65">
        <v>2026</v>
      </c>
      <c r="W65" s="2" t="s">
        <v>303</v>
      </c>
      <c r="X65" s="2" t="s">
        <v>295</v>
      </c>
      <c r="Y65" s="2" t="s">
        <v>296</v>
      </c>
      <c r="Z65" s="2" t="s">
        <v>297</v>
      </c>
    </row>
    <row r="66" spans="1:26" x14ac:dyDescent="0.35">
      <c r="A66" s="2" t="s">
        <v>108</v>
      </c>
      <c r="B66" s="16">
        <v>46249</v>
      </c>
      <c r="C66" s="2" t="s">
        <v>37</v>
      </c>
      <c r="D66" s="2" t="s">
        <v>38</v>
      </c>
      <c r="E66" s="2" t="s">
        <v>14</v>
      </c>
      <c r="F66" s="2" t="s">
        <v>15</v>
      </c>
      <c r="G66" s="2" t="s">
        <v>16</v>
      </c>
      <c r="H66" s="2" t="s">
        <v>17</v>
      </c>
      <c r="I66">
        <v>8</v>
      </c>
      <c r="J66">
        <v>35000</v>
      </c>
      <c r="K66">
        <v>0.08</v>
      </c>
      <c r="L66" s="2" t="s">
        <v>179</v>
      </c>
      <c r="M66" s="2" t="s">
        <v>208</v>
      </c>
      <c r="N66" s="2" t="s">
        <v>198</v>
      </c>
      <c r="O66">
        <v>280000</v>
      </c>
      <c r="P66">
        <v>22400</v>
      </c>
      <c r="Q66">
        <v>257600</v>
      </c>
      <c r="R66">
        <v>216000</v>
      </c>
      <c r="S66">
        <v>41600</v>
      </c>
      <c r="T66">
        <v>0.16149068322981366</v>
      </c>
      <c r="U66" s="1">
        <v>46235</v>
      </c>
      <c r="V66">
        <v>2026</v>
      </c>
      <c r="W66" s="2" t="s">
        <v>300</v>
      </c>
      <c r="X66" s="2" t="s">
        <v>301</v>
      </c>
      <c r="Y66" s="2" t="s">
        <v>296</v>
      </c>
      <c r="Z66" s="2" t="s">
        <v>297</v>
      </c>
    </row>
    <row r="67" spans="1:26" x14ac:dyDescent="0.35">
      <c r="A67" s="2" t="s">
        <v>109</v>
      </c>
      <c r="B67" s="16">
        <v>46252</v>
      </c>
      <c r="C67" s="2" t="s">
        <v>41</v>
      </c>
      <c r="D67" s="2" t="s">
        <v>42</v>
      </c>
      <c r="E67" s="2" t="s">
        <v>21</v>
      </c>
      <c r="F67" s="2" t="s">
        <v>22</v>
      </c>
      <c r="G67" s="2" t="s">
        <v>16</v>
      </c>
      <c r="H67" s="2" t="s">
        <v>23</v>
      </c>
      <c r="I67">
        <v>21</v>
      </c>
      <c r="J67">
        <v>8000</v>
      </c>
      <c r="K67">
        <v>0.05</v>
      </c>
      <c r="L67" s="2" t="s">
        <v>182</v>
      </c>
      <c r="M67" s="2" t="s">
        <v>210</v>
      </c>
      <c r="N67" s="2" t="s">
        <v>199</v>
      </c>
      <c r="O67">
        <v>168000</v>
      </c>
      <c r="P67">
        <v>8400</v>
      </c>
      <c r="Q67">
        <v>159600</v>
      </c>
      <c r="R67">
        <v>109200</v>
      </c>
      <c r="S67">
        <v>50400</v>
      </c>
      <c r="T67">
        <v>0.31578947368421051</v>
      </c>
      <c r="U67" s="1">
        <v>46235</v>
      </c>
      <c r="V67">
        <v>2026</v>
      </c>
      <c r="W67" s="2" t="s">
        <v>298</v>
      </c>
      <c r="X67" s="2" t="s">
        <v>295</v>
      </c>
      <c r="Y67" s="2" t="s">
        <v>296</v>
      </c>
      <c r="Z67" s="2" t="s">
        <v>297</v>
      </c>
    </row>
    <row r="68" spans="1:26" x14ac:dyDescent="0.35">
      <c r="A68" s="2" t="s">
        <v>110</v>
      </c>
      <c r="B68" s="16">
        <v>46256</v>
      </c>
      <c r="C68" s="2" t="s">
        <v>45</v>
      </c>
      <c r="D68" s="2" t="s">
        <v>13</v>
      </c>
      <c r="E68" s="2" t="s">
        <v>27</v>
      </c>
      <c r="F68" s="2" t="s">
        <v>28</v>
      </c>
      <c r="G68" s="2" t="s">
        <v>16</v>
      </c>
      <c r="H68" s="2" t="s">
        <v>29</v>
      </c>
      <c r="I68">
        <v>6</v>
      </c>
      <c r="J68">
        <v>50000</v>
      </c>
      <c r="K68">
        <v>0.12</v>
      </c>
      <c r="L68" s="2" t="s">
        <v>169</v>
      </c>
      <c r="M68" s="2" t="s">
        <v>211</v>
      </c>
      <c r="N68" s="2" t="s">
        <v>201</v>
      </c>
      <c r="O68">
        <v>300000</v>
      </c>
      <c r="P68">
        <v>36000</v>
      </c>
      <c r="Q68">
        <v>264000</v>
      </c>
      <c r="R68">
        <v>234000</v>
      </c>
      <c r="S68">
        <v>30000</v>
      </c>
      <c r="T68">
        <v>0.11363636363636363</v>
      </c>
      <c r="U68" s="1">
        <v>46235</v>
      </c>
      <c r="V68">
        <v>2026</v>
      </c>
      <c r="W68" s="2" t="s">
        <v>300</v>
      </c>
      <c r="X68" s="2" t="s">
        <v>301</v>
      </c>
      <c r="Y68" s="2" t="s">
        <v>296</v>
      </c>
      <c r="Z68" s="2" t="s">
        <v>297</v>
      </c>
    </row>
    <row r="69" spans="1:26" x14ac:dyDescent="0.35">
      <c r="A69" s="2" t="s">
        <v>111</v>
      </c>
      <c r="B69" s="16">
        <v>46259</v>
      </c>
      <c r="C69" s="2" t="s">
        <v>47</v>
      </c>
      <c r="D69" s="2" t="s">
        <v>20</v>
      </c>
      <c r="E69" s="2" t="s">
        <v>33</v>
      </c>
      <c r="F69" s="2" t="s">
        <v>34</v>
      </c>
      <c r="G69" s="2" t="s">
        <v>16</v>
      </c>
      <c r="H69" s="2" t="s">
        <v>17</v>
      </c>
      <c r="I69">
        <v>15</v>
      </c>
      <c r="J69">
        <v>25000</v>
      </c>
      <c r="K69">
        <v>0.1</v>
      </c>
      <c r="L69" s="2" t="s">
        <v>172</v>
      </c>
      <c r="M69" s="2" t="s">
        <v>212</v>
      </c>
      <c r="N69" s="2" t="s">
        <v>202</v>
      </c>
      <c r="O69">
        <v>375000</v>
      </c>
      <c r="P69">
        <v>37500</v>
      </c>
      <c r="Q69">
        <v>337500</v>
      </c>
      <c r="R69">
        <v>285000</v>
      </c>
      <c r="S69">
        <v>52500</v>
      </c>
      <c r="T69">
        <v>0.15555555555555556</v>
      </c>
      <c r="U69" s="1">
        <v>46235</v>
      </c>
      <c r="V69">
        <v>2026</v>
      </c>
      <c r="W69" s="2" t="s">
        <v>298</v>
      </c>
      <c r="X69" s="2" t="s">
        <v>295</v>
      </c>
      <c r="Y69" s="2" t="s">
        <v>296</v>
      </c>
      <c r="Z69" s="2" t="s">
        <v>297</v>
      </c>
    </row>
    <row r="70" spans="1:26" x14ac:dyDescent="0.35">
      <c r="A70" s="2" t="s">
        <v>112</v>
      </c>
      <c r="B70" s="16">
        <v>46267</v>
      </c>
      <c r="C70" s="2" t="s">
        <v>49</v>
      </c>
      <c r="D70" s="2" t="s">
        <v>26</v>
      </c>
      <c r="E70" s="2" t="s">
        <v>39</v>
      </c>
      <c r="F70" s="2" t="s">
        <v>15</v>
      </c>
      <c r="G70" s="2" t="s">
        <v>16</v>
      </c>
      <c r="H70" s="2" t="s">
        <v>23</v>
      </c>
      <c r="I70">
        <v>40</v>
      </c>
      <c r="J70">
        <v>5000</v>
      </c>
      <c r="K70">
        <v>0.05</v>
      </c>
      <c r="L70" s="2" t="s">
        <v>175</v>
      </c>
      <c r="M70" s="2" t="s">
        <v>213</v>
      </c>
      <c r="N70" s="2" t="s">
        <v>203</v>
      </c>
      <c r="O70">
        <v>200000</v>
      </c>
      <c r="P70">
        <v>10000</v>
      </c>
      <c r="Q70">
        <v>190000</v>
      </c>
      <c r="R70">
        <v>140000</v>
      </c>
      <c r="S70">
        <v>50000</v>
      </c>
      <c r="T70">
        <v>0.26315789473684209</v>
      </c>
      <c r="U70" s="1">
        <v>46266</v>
      </c>
      <c r="V70">
        <v>2026</v>
      </c>
      <c r="W70" s="2" t="s">
        <v>303</v>
      </c>
      <c r="X70" s="2" t="s">
        <v>295</v>
      </c>
      <c r="Y70" s="2" t="s">
        <v>296</v>
      </c>
      <c r="Z70" s="2" t="s">
        <v>297</v>
      </c>
    </row>
    <row r="71" spans="1:26" x14ac:dyDescent="0.35">
      <c r="A71" s="2" t="s">
        <v>113</v>
      </c>
      <c r="B71" s="16">
        <v>46270</v>
      </c>
      <c r="C71" s="2" t="s">
        <v>51</v>
      </c>
      <c r="D71" s="2" t="s">
        <v>32</v>
      </c>
      <c r="E71" s="2" t="s">
        <v>43</v>
      </c>
      <c r="F71" s="2" t="s">
        <v>22</v>
      </c>
      <c r="G71" s="2" t="s">
        <v>16</v>
      </c>
      <c r="H71" s="2" t="s">
        <v>35</v>
      </c>
      <c r="I71">
        <v>45</v>
      </c>
      <c r="J71">
        <v>2000</v>
      </c>
      <c r="K71">
        <v>0</v>
      </c>
      <c r="L71" s="2" t="s">
        <v>178</v>
      </c>
      <c r="M71" s="2" t="s">
        <v>214</v>
      </c>
      <c r="N71" s="2" t="s">
        <v>204</v>
      </c>
      <c r="O71">
        <v>90000</v>
      </c>
      <c r="P71">
        <v>0</v>
      </c>
      <c r="Q71">
        <v>90000</v>
      </c>
      <c r="R71">
        <v>54000</v>
      </c>
      <c r="S71">
        <v>36000</v>
      </c>
      <c r="T71">
        <v>0.4</v>
      </c>
      <c r="U71" s="1">
        <v>46266</v>
      </c>
      <c r="V71">
        <v>2026</v>
      </c>
      <c r="W71" s="2" t="s">
        <v>300</v>
      </c>
      <c r="X71" s="2" t="s">
        <v>301</v>
      </c>
      <c r="Y71" s="2" t="s">
        <v>296</v>
      </c>
      <c r="Z71" s="2" t="s">
        <v>297</v>
      </c>
    </row>
    <row r="72" spans="1:26" x14ac:dyDescent="0.35">
      <c r="A72" s="2" t="s">
        <v>114</v>
      </c>
      <c r="B72" s="16">
        <v>46273</v>
      </c>
      <c r="C72" s="2" t="s">
        <v>12</v>
      </c>
      <c r="D72" s="2" t="s">
        <v>38</v>
      </c>
      <c r="E72" s="2" t="s">
        <v>14</v>
      </c>
      <c r="F72" s="2" t="s">
        <v>28</v>
      </c>
      <c r="G72" s="2" t="s">
        <v>16</v>
      </c>
      <c r="H72" s="2" t="s">
        <v>29</v>
      </c>
      <c r="I72">
        <v>11</v>
      </c>
      <c r="J72">
        <v>35000</v>
      </c>
      <c r="K72">
        <v>0.1</v>
      </c>
      <c r="L72" s="2" t="s">
        <v>179</v>
      </c>
      <c r="M72" s="2" t="s">
        <v>208</v>
      </c>
      <c r="N72" s="2" t="s">
        <v>188</v>
      </c>
      <c r="O72">
        <v>385000</v>
      </c>
      <c r="P72">
        <v>38500</v>
      </c>
      <c r="Q72">
        <v>346500</v>
      </c>
      <c r="R72">
        <v>297000</v>
      </c>
      <c r="S72">
        <v>49500</v>
      </c>
      <c r="T72">
        <v>0.14285714285714285</v>
      </c>
      <c r="U72" s="1">
        <v>46266</v>
      </c>
      <c r="V72">
        <v>2026</v>
      </c>
      <c r="W72" s="2" t="s">
        <v>298</v>
      </c>
      <c r="X72" s="2" t="s">
        <v>295</v>
      </c>
      <c r="Y72" s="2" t="s">
        <v>296</v>
      </c>
      <c r="Z72" s="2" t="s">
        <v>297</v>
      </c>
    </row>
    <row r="73" spans="1:26" x14ac:dyDescent="0.35">
      <c r="A73" s="2" t="s">
        <v>115</v>
      </c>
      <c r="B73" s="16">
        <v>46275</v>
      </c>
      <c r="C73" s="2" t="s">
        <v>19</v>
      </c>
      <c r="D73" s="2" t="s">
        <v>42</v>
      </c>
      <c r="E73" s="2" t="s">
        <v>21</v>
      </c>
      <c r="F73" s="2" t="s">
        <v>34</v>
      </c>
      <c r="G73" s="2" t="s">
        <v>16</v>
      </c>
      <c r="H73" s="2" t="s">
        <v>17</v>
      </c>
      <c r="I73">
        <v>23</v>
      </c>
      <c r="J73">
        <v>8000</v>
      </c>
      <c r="K73">
        <v>0.05</v>
      </c>
      <c r="L73" s="2" t="s">
        <v>182</v>
      </c>
      <c r="M73" s="2" t="s">
        <v>210</v>
      </c>
      <c r="N73" s="2" t="s">
        <v>191</v>
      </c>
      <c r="O73">
        <v>184000</v>
      </c>
      <c r="P73">
        <v>9200</v>
      </c>
      <c r="Q73">
        <v>174800</v>
      </c>
      <c r="R73">
        <v>119600</v>
      </c>
      <c r="S73">
        <v>55200</v>
      </c>
      <c r="T73">
        <v>0.31578947368421051</v>
      </c>
      <c r="U73" s="1">
        <v>46266</v>
      </c>
      <c r="V73">
        <v>2026</v>
      </c>
      <c r="W73" s="2" t="s">
        <v>299</v>
      </c>
      <c r="X73" s="2" t="s">
        <v>295</v>
      </c>
      <c r="Y73" s="2" t="s">
        <v>296</v>
      </c>
      <c r="Z73" s="2" t="s">
        <v>297</v>
      </c>
    </row>
    <row r="74" spans="1:26" x14ac:dyDescent="0.35">
      <c r="A74" s="2" t="s">
        <v>116</v>
      </c>
      <c r="B74" s="16">
        <v>46277</v>
      </c>
      <c r="C74" s="2" t="s">
        <v>25</v>
      </c>
      <c r="D74" s="2" t="s">
        <v>13</v>
      </c>
      <c r="E74" s="2" t="s">
        <v>27</v>
      </c>
      <c r="F74" s="2" t="s">
        <v>15</v>
      </c>
      <c r="G74" s="2" t="s">
        <v>16</v>
      </c>
      <c r="H74" s="2" t="s">
        <v>23</v>
      </c>
      <c r="I74">
        <v>5</v>
      </c>
      <c r="J74">
        <v>50000</v>
      </c>
      <c r="K74">
        <v>0.15</v>
      </c>
      <c r="L74" s="2" t="s">
        <v>169</v>
      </c>
      <c r="M74" s="2" t="s">
        <v>211</v>
      </c>
      <c r="N74" s="2" t="s">
        <v>194</v>
      </c>
      <c r="O74">
        <v>250000</v>
      </c>
      <c r="P74">
        <v>37500</v>
      </c>
      <c r="Q74">
        <v>212500</v>
      </c>
      <c r="R74">
        <v>195000</v>
      </c>
      <c r="S74">
        <v>17500</v>
      </c>
      <c r="T74">
        <v>8.2352941176470587E-2</v>
      </c>
      <c r="U74" s="1">
        <v>46266</v>
      </c>
      <c r="V74">
        <v>2026</v>
      </c>
      <c r="W74" s="2" t="s">
        <v>300</v>
      </c>
      <c r="X74" s="2" t="s">
        <v>301</v>
      </c>
      <c r="Y74" s="2" t="s">
        <v>296</v>
      </c>
      <c r="Z74" s="2" t="s">
        <v>297</v>
      </c>
    </row>
    <row r="75" spans="1:26" x14ac:dyDescent="0.35">
      <c r="A75" s="2" t="s">
        <v>117</v>
      </c>
      <c r="B75" s="16">
        <v>46279</v>
      </c>
      <c r="C75" s="2" t="s">
        <v>31</v>
      </c>
      <c r="D75" s="2" t="s">
        <v>20</v>
      </c>
      <c r="E75" s="2" t="s">
        <v>33</v>
      </c>
      <c r="F75" s="2" t="s">
        <v>22</v>
      </c>
      <c r="G75" s="2" t="s">
        <v>16</v>
      </c>
      <c r="H75" s="2" t="s">
        <v>29</v>
      </c>
      <c r="I75">
        <v>18</v>
      </c>
      <c r="J75">
        <v>25000</v>
      </c>
      <c r="K75">
        <v>0.12</v>
      </c>
      <c r="L75" s="2" t="s">
        <v>172</v>
      </c>
      <c r="M75" s="2" t="s">
        <v>212</v>
      </c>
      <c r="N75" s="2" t="s">
        <v>196</v>
      </c>
      <c r="O75">
        <v>450000</v>
      </c>
      <c r="P75">
        <v>54000</v>
      </c>
      <c r="Q75">
        <v>396000</v>
      </c>
      <c r="R75">
        <v>342000</v>
      </c>
      <c r="S75">
        <v>54000</v>
      </c>
      <c r="T75">
        <v>0.13636363636363635</v>
      </c>
      <c r="U75" s="1">
        <v>46266</v>
      </c>
      <c r="V75">
        <v>2026</v>
      </c>
      <c r="W75" s="2" t="s">
        <v>294</v>
      </c>
      <c r="X75" s="2" t="s">
        <v>295</v>
      </c>
      <c r="Y75" s="2" t="s">
        <v>296</v>
      </c>
      <c r="Z75" s="2" t="s">
        <v>297</v>
      </c>
    </row>
    <row r="76" spans="1:26" x14ac:dyDescent="0.35">
      <c r="A76" s="2" t="s">
        <v>118</v>
      </c>
      <c r="B76" s="16">
        <v>46280</v>
      </c>
      <c r="C76" s="2" t="s">
        <v>37</v>
      </c>
      <c r="D76" s="2" t="s">
        <v>26</v>
      </c>
      <c r="E76" s="2" t="s">
        <v>39</v>
      </c>
      <c r="F76" s="2" t="s">
        <v>28</v>
      </c>
      <c r="G76" s="2" t="s">
        <v>16</v>
      </c>
      <c r="H76" s="2" t="s">
        <v>17</v>
      </c>
      <c r="I76">
        <v>35</v>
      </c>
      <c r="J76">
        <v>5000</v>
      </c>
      <c r="K76">
        <v>0.08</v>
      </c>
      <c r="L76" s="2" t="s">
        <v>175</v>
      </c>
      <c r="M76" s="2" t="s">
        <v>213</v>
      </c>
      <c r="N76" s="2" t="s">
        <v>198</v>
      </c>
      <c r="O76">
        <v>175000</v>
      </c>
      <c r="P76">
        <v>14000</v>
      </c>
      <c r="Q76">
        <v>161000</v>
      </c>
      <c r="R76">
        <v>122500</v>
      </c>
      <c r="S76">
        <v>38500</v>
      </c>
      <c r="T76">
        <v>0.2391304347826087</v>
      </c>
      <c r="U76" s="1">
        <v>46266</v>
      </c>
      <c r="V76">
        <v>2026</v>
      </c>
      <c r="W76" s="2" t="s">
        <v>298</v>
      </c>
      <c r="X76" s="2" t="s">
        <v>295</v>
      </c>
      <c r="Y76" s="2" t="s">
        <v>296</v>
      </c>
      <c r="Z76" s="2" t="s">
        <v>297</v>
      </c>
    </row>
    <row r="77" spans="1:26" x14ac:dyDescent="0.35">
      <c r="A77" s="2" t="s">
        <v>119</v>
      </c>
      <c r="B77" s="16">
        <v>46281</v>
      </c>
      <c r="C77" s="2" t="s">
        <v>41</v>
      </c>
      <c r="D77" s="2" t="s">
        <v>32</v>
      </c>
      <c r="E77" s="2" t="s">
        <v>43</v>
      </c>
      <c r="F77" s="2" t="s">
        <v>34</v>
      </c>
      <c r="G77" s="2" t="s">
        <v>16</v>
      </c>
      <c r="H77" s="2" t="s">
        <v>35</v>
      </c>
      <c r="I77">
        <v>48</v>
      </c>
      <c r="J77">
        <v>2000</v>
      </c>
      <c r="K77">
        <v>0</v>
      </c>
      <c r="L77" s="2" t="s">
        <v>178</v>
      </c>
      <c r="M77" s="2" t="s">
        <v>214</v>
      </c>
      <c r="N77" s="2" t="s">
        <v>199</v>
      </c>
      <c r="O77">
        <v>96000</v>
      </c>
      <c r="P77">
        <v>0</v>
      </c>
      <c r="Q77">
        <v>96000</v>
      </c>
      <c r="R77">
        <v>57600</v>
      </c>
      <c r="S77">
        <v>38400</v>
      </c>
      <c r="T77">
        <v>0.4</v>
      </c>
      <c r="U77" s="1">
        <v>46266</v>
      </c>
      <c r="V77">
        <v>2026</v>
      </c>
      <c r="W77" s="2" t="s">
        <v>303</v>
      </c>
      <c r="X77" s="2" t="s">
        <v>295</v>
      </c>
      <c r="Y77" s="2" t="s">
        <v>296</v>
      </c>
      <c r="Z77" s="2" t="s">
        <v>297</v>
      </c>
    </row>
    <row r="78" spans="1:26" x14ac:dyDescent="0.35">
      <c r="A78" s="2" t="s">
        <v>120</v>
      </c>
      <c r="B78" s="16">
        <v>46282</v>
      </c>
      <c r="C78" s="2" t="s">
        <v>45</v>
      </c>
      <c r="D78" s="2" t="s">
        <v>38</v>
      </c>
      <c r="E78" s="2" t="s">
        <v>14</v>
      </c>
      <c r="F78" s="2" t="s">
        <v>15</v>
      </c>
      <c r="G78" s="2" t="s">
        <v>16</v>
      </c>
      <c r="H78" s="2" t="s">
        <v>17</v>
      </c>
      <c r="I78">
        <v>9</v>
      </c>
      <c r="J78">
        <v>35000</v>
      </c>
      <c r="K78">
        <v>0.1</v>
      </c>
      <c r="L78" s="2" t="s">
        <v>179</v>
      </c>
      <c r="M78" s="2" t="s">
        <v>208</v>
      </c>
      <c r="N78" s="2" t="s">
        <v>201</v>
      </c>
      <c r="O78">
        <v>315000</v>
      </c>
      <c r="P78">
        <v>31500</v>
      </c>
      <c r="Q78">
        <v>283500</v>
      </c>
      <c r="R78">
        <v>243000</v>
      </c>
      <c r="S78">
        <v>40500</v>
      </c>
      <c r="T78">
        <v>0.14285714285714285</v>
      </c>
      <c r="U78" s="1">
        <v>46266</v>
      </c>
      <c r="V78">
        <v>2026</v>
      </c>
      <c r="W78" s="2" t="s">
        <v>299</v>
      </c>
      <c r="X78" s="2" t="s">
        <v>295</v>
      </c>
      <c r="Y78" s="2" t="s">
        <v>296</v>
      </c>
      <c r="Z78" s="2" t="s">
        <v>297</v>
      </c>
    </row>
    <row r="79" spans="1:26" x14ac:dyDescent="0.35">
      <c r="A79" s="2" t="s">
        <v>121</v>
      </c>
      <c r="B79" s="16">
        <v>46283</v>
      </c>
      <c r="C79" s="2" t="s">
        <v>47</v>
      </c>
      <c r="D79" s="2" t="s">
        <v>42</v>
      </c>
      <c r="E79" s="2" t="s">
        <v>21</v>
      </c>
      <c r="F79" s="2" t="s">
        <v>22</v>
      </c>
      <c r="G79" s="2" t="s">
        <v>16</v>
      </c>
      <c r="H79" s="2" t="s">
        <v>23</v>
      </c>
      <c r="I79">
        <v>24</v>
      </c>
      <c r="J79">
        <v>8000</v>
      </c>
      <c r="K79">
        <v>0.05</v>
      </c>
      <c r="L79" s="2" t="s">
        <v>182</v>
      </c>
      <c r="M79" s="2" t="s">
        <v>210</v>
      </c>
      <c r="N79" s="2" t="s">
        <v>202</v>
      </c>
      <c r="O79">
        <v>192000</v>
      </c>
      <c r="P79">
        <v>9600</v>
      </c>
      <c r="Q79">
        <v>182400</v>
      </c>
      <c r="R79">
        <v>124800</v>
      </c>
      <c r="S79">
        <v>57600</v>
      </c>
      <c r="T79">
        <v>0.31578947368421051</v>
      </c>
      <c r="U79" s="1">
        <v>46266</v>
      </c>
      <c r="V79">
        <v>2026</v>
      </c>
      <c r="W79" s="2" t="s">
        <v>304</v>
      </c>
      <c r="X79" s="2" t="s">
        <v>295</v>
      </c>
      <c r="Y79" s="2" t="s">
        <v>296</v>
      </c>
      <c r="Z79" s="2" t="s">
        <v>297</v>
      </c>
    </row>
    <row r="80" spans="1:26" x14ac:dyDescent="0.35">
      <c r="A80" s="2" t="s">
        <v>122</v>
      </c>
      <c r="B80" s="16">
        <v>46284</v>
      </c>
      <c r="C80" s="2" t="s">
        <v>49</v>
      </c>
      <c r="D80" s="2" t="s">
        <v>13</v>
      </c>
      <c r="E80" s="2" t="s">
        <v>27</v>
      </c>
      <c r="F80" s="2" t="s">
        <v>28</v>
      </c>
      <c r="G80" s="2" t="s">
        <v>16</v>
      </c>
      <c r="H80" s="2" t="s">
        <v>29</v>
      </c>
      <c r="I80">
        <v>7</v>
      </c>
      <c r="J80">
        <v>50000</v>
      </c>
      <c r="K80">
        <v>0.1</v>
      </c>
      <c r="L80" s="2" t="s">
        <v>169</v>
      </c>
      <c r="M80" s="2" t="s">
        <v>211</v>
      </c>
      <c r="N80" s="2" t="s">
        <v>203</v>
      </c>
      <c r="O80">
        <v>350000</v>
      </c>
      <c r="P80">
        <v>35000</v>
      </c>
      <c r="Q80">
        <v>315000</v>
      </c>
      <c r="R80">
        <v>273000</v>
      </c>
      <c r="S80">
        <v>42000</v>
      </c>
      <c r="T80">
        <v>0.13333333333333333</v>
      </c>
      <c r="U80" s="1">
        <v>46266</v>
      </c>
      <c r="V80">
        <v>2026</v>
      </c>
      <c r="W80" s="2" t="s">
        <v>300</v>
      </c>
      <c r="X80" s="2" t="s">
        <v>301</v>
      </c>
      <c r="Y80" s="2" t="s">
        <v>296</v>
      </c>
      <c r="Z80" s="2" t="s">
        <v>297</v>
      </c>
    </row>
    <row r="81" spans="1:26" x14ac:dyDescent="0.35">
      <c r="A81" s="2" t="s">
        <v>123</v>
      </c>
      <c r="B81" s="16">
        <v>46285</v>
      </c>
      <c r="C81" s="2" t="s">
        <v>51</v>
      </c>
      <c r="D81" s="2" t="s">
        <v>20</v>
      </c>
      <c r="E81" s="2" t="s">
        <v>33</v>
      </c>
      <c r="F81" s="2" t="s">
        <v>34</v>
      </c>
      <c r="G81" s="2" t="s">
        <v>16</v>
      </c>
      <c r="H81" s="2" t="s">
        <v>17</v>
      </c>
      <c r="I81">
        <v>16</v>
      </c>
      <c r="J81">
        <v>25000</v>
      </c>
      <c r="K81">
        <v>0.15</v>
      </c>
      <c r="L81" s="2" t="s">
        <v>172</v>
      </c>
      <c r="M81" s="2" t="s">
        <v>212</v>
      </c>
      <c r="N81" s="2" t="s">
        <v>204</v>
      </c>
      <c r="O81">
        <v>400000</v>
      </c>
      <c r="P81">
        <v>60000</v>
      </c>
      <c r="Q81">
        <v>340000</v>
      </c>
      <c r="R81">
        <v>304000</v>
      </c>
      <c r="S81">
        <v>36000</v>
      </c>
      <c r="T81">
        <v>0.10588235294117647</v>
      </c>
      <c r="U81" s="1">
        <v>46266</v>
      </c>
      <c r="V81">
        <v>2026</v>
      </c>
      <c r="W81" s="2" t="s">
        <v>302</v>
      </c>
      <c r="X81" s="2" t="s">
        <v>301</v>
      </c>
      <c r="Y81" s="2" t="s">
        <v>296</v>
      </c>
      <c r="Z81" s="2" t="s">
        <v>297</v>
      </c>
    </row>
    <row r="82" spans="1:26" x14ac:dyDescent="0.35">
      <c r="A82" s="2" t="s">
        <v>124</v>
      </c>
      <c r="B82" s="16">
        <v>46287</v>
      </c>
      <c r="C82" s="2" t="s">
        <v>12</v>
      </c>
      <c r="D82" s="2" t="s">
        <v>26</v>
      </c>
      <c r="E82" s="2" t="s">
        <v>39</v>
      </c>
      <c r="F82" s="2" t="s">
        <v>15</v>
      </c>
      <c r="G82" s="2" t="s">
        <v>16</v>
      </c>
      <c r="H82" s="2" t="s">
        <v>23</v>
      </c>
      <c r="I82">
        <v>42</v>
      </c>
      <c r="J82">
        <v>5000</v>
      </c>
      <c r="K82">
        <v>0.05</v>
      </c>
      <c r="L82" s="2" t="s">
        <v>175</v>
      </c>
      <c r="M82" s="2" t="s">
        <v>213</v>
      </c>
      <c r="N82" s="2" t="s">
        <v>188</v>
      </c>
      <c r="O82">
        <v>210000</v>
      </c>
      <c r="P82">
        <v>10500</v>
      </c>
      <c r="Q82">
        <v>199500</v>
      </c>
      <c r="R82">
        <v>147000</v>
      </c>
      <c r="S82">
        <v>52500</v>
      </c>
      <c r="T82">
        <v>0.26315789473684209</v>
      </c>
      <c r="U82" s="1">
        <v>46266</v>
      </c>
      <c r="V82">
        <v>2026</v>
      </c>
      <c r="W82" s="2" t="s">
        <v>298</v>
      </c>
      <c r="X82" s="2" t="s">
        <v>295</v>
      </c>
      <c r="Y82" s="2" t="s">
        <v>296</v>
      </c>
      <c r="Z82" s="2" t="s">
        <v>297</v>
      </c>
    </row>
    <row r="83" spans="1:26" x14ac:dyDescent="0.35">
      <c r="A83" s="2" t="s">
        <v>125</v>
      </c>
      <c r="B83" s="16">
        <v>46289</v>
      </c>
      <c r="C83" s="2" t="s">
        <v>19</v>
      </c>
      <c r="D83" s="2" t="s">
        <v>32</v>
      </c>
      <c r="E83" s="2" t="s">
        <v>43</v>
      </c>
      <c r="F83" s="2" t="s">
        <v>22</v>
      </c>
      <c r="G83" s="2" t="s">
        <v>16</v>
      </c>
      <c r="H83" s="2" t="s">
        <v>35</v>
      </c>
      <c r="I83">
        <v>50</v>
      </c>
      <c r="J83">
        <v>2000</v>
      </c>
      <c r="K83">
        <v>0</v>
      </c>
      <c r="L83" s="2" t="s">
        <v>178</v>
      </c>
      <c r="M83" s="2" t="s">
        <v>214</v>
      </c>
      <c r="N83" s="2" t="s">
        <v>191</v>
      </c>
      <c r="O83">
        <v>100000</v>
      </c>
      <c r="P83">
        <v>0</v>
      </c>
      <c r="Q83">
        <v>100000</v>
      </c>
      <c r="R83">
        <v>60000</v>
      </c>
      <c r="S83">
        <v>40000</v>
      </c>
      <c r="T83">
        <v>0.4</v>
      </c>
      <c r="U83" s="1">
        <v>46266</v>
      </c>
      <c r="V83">
        <v>2026</v>
      </c>
      <c r="W83" s="2" t="s">
        <v>299</v>
      </c>
      <c r="X83" s="2" t="s">
        <v>295</v>
      </c>
      <c r="Y83" s="2" t="s">
        <v>296</v>
      </c>
      <c r="Z83" s="2" t="s">
        <v>297</v>
      </c>
    </row>
    <row r="84" spans="1:26" x14ac:dyDescent="0.35">
      <c r="A84" s="2" t="s">
        <v>126</v>
      </c>
      <c r="B84" s="16">
        <v>46291</v>
      </c>
      <c r="C84" s="2" t="s">
        <v>25</v>
      </c>
      <c r="D84" s="2" t="s">
        <v>38</v>
      </c>
      <c r="E84" s="2" t="s">
        <v>14</v>
      </c>
      <c r="F84" s="2" t="s">
        <v>28</v>
      </c>
      <c r="G84" s="2" t="s">
        <v>16</v>
      </c>
      <c r="H84" s="2" t="s">
        <v>29</v>
      </c>
      <c r="I84">
        <v>12</v>
      </c>
      <c r="J84">
        <v>35000</v>
      </c>
      <c r="K84">
        <v>0.1</v>
      </c>
      <c r="L84" s="2" t="s">
        <v>179</v>
      </c>
      <c r="M84" s="2" t="s">
        <v>208</v>
      </c>
      <c r="N84" s="2" t="s">
        <v>194</v>
      </c>
      <c r="O84">
        <v>420000</v>
      </c>
      <c r="P84">
        <v>42000</v>
      </c>
      <c r="Q84">
        <v>378000</v>
      </c>
      <c r="R84">
        <v>324000</v>
      </c>
      <c r="S84">
        <v>54000</v>
      </c>
      <c r="T84">
        <v>0.14285714285714285</v>
      </c>
      <c r="U84" s="1">
        <v>46266</v>
      </c>
      <c r="V84">
        <v>2026</v>
      </c>
      <c r="W84" s="2" t="s">
        <v>300</v>
      </c>
      <c r="X84" s="2" t="s">
        <v>301</v>
      </c>
      <c r="Y84" s="2" t="s">
        <v>296</v>
      </c>
      <c r="Z84" s="2" t="s">
        <v>297</v>
      </c>
    </row>
    <row r="85" spans="1:26" x14ac:dyDescent="0.35">
      <c r="A85" s="2" t="s">
        <v>127</v>
      </c>
      <c r="B85" s="16">
        <v>46293</v>
      </c>
      <c r="C85" s="2" t="s">
        <v>31</v>
      </c>
      <c r="D85" s="2" t="s">
        <v>42</v>
      </c>
      <c r="E85" s="2" t="s">
        <v>21</v>
      </c>
      <c r="F85" s="2" t="s">
        <v>34</v>
      </c>
      <c r="G85" s="2" t="s">
        <v>16</v>
      </c>
      <c r="H85" s="2" t="s">
        <v>17</v>
      </c>
      <c r="I85">
        <v>25</v>
      </c>
      <c r="J85">
        <v>8000</v>
      </c>
      <c r="K85">
        <v>0.05</v>
      </c>
      <c r="L85" s="2" t="s">
        <v>182</v>
      </c>
      <c r="M85" s="2" t="s">
        <v>210</v>
      </c>
      <c r="N85" s="2" t="s">
        <v>196</v>
      </c>
      <c r="O85">
        <v>200000</v>
      </c>
      <c r="P85">
        <v>10000</v>
      </c>
      <c r="Q85">
        <v>190000</v>
      </c>
      <c r="R85">
        <v>130000</v>
      </c>
      <c r="S85">
        <v>60000</v>
      </c>
      <c r="T85">
        <v>0.31578947368421051</v>
      </c>
      <c r="U85" s="1">
        <v>46266</v>
      </c>
      <c r="V85">
        <v>2026</v>
      </c>
      <c r="W85" s="2" t="s">
        <v>294</v>
      </c>
      <c r="X85" s="2" t="s">
        <v>295</v>
      </c>
      <c r="Y85" s="2" t="s">
        <v>296</v>
      </c>
      <c r="Z85" s="2" t="s">
        <v>297</v>
      </c>
    </row>
    <row r="86" spans="1:26" x14ac:dyDescent="0.35">
      <c r="A86" s="2" t="s">
        <v>128</v>
      </c>
      <c r="B86" s="16">
        <v>46296</v>
      </c>
      <c r="C86" s="2" t="s">
        <v>37</v>
      </c>
      <c r="D86" s="2" t="s">
        <v>13</v>
      </c>
      <c r="E86" s="2" t="s">
        <v>27</v>
      </c>
      <c r="F86" s="2" t="s">
        <v>15</v>
      </c>
      <c r="G86" s="2" t="s">
        <v>16</v>
      </c>
      <c r="H86" s="2" t="s">
        <v>23</v>
      </c>
      <c r="I86">
        <v>6</v>
      </c>
      <c r="J86">
        <v>50000</v>
      </c>
      <c r="K86">
        <v>0.08</v>
      </c>
      <c r="L86" s="2" t="s">
        <v>169</v>
      </c>
      <c r="M86" s="2" t="s">
        <v>211</v>
      </c>
      <c r="N86" s="2" t="s">
        <v>198</v>
      </c>
      <c r="O86">
        <v>300000</v>
      </c>
      <c r="P86">
        <v>24000</v>
      </c>
      <c r="Q86">
        <v>276000</v>
      </c>
      <c r="R86">
        <v>234000</v>
      </c>
      <c r="S86">
        <v>42000</v>
      </c>
      <c r="T86">
        <v>0.15217391304347827</v>
      </c>
      <c r="U86" s="1">
        <v>46296</v>
      </c>
      <c r="V86">
        <v>2026</v>
      </c>
      <c r="W86" s="2" t="s">
        <v>299</v>
      </c>
      <c r="X86" s="2" t="s">
        <v>295</v>
      </c>
      <c r="Y86" s="2" t="s">
        <v>296</v>
      </c>
      <c r="Z86" s="2" t="s">
        <v>297</v>
      </c>
    </row>
    <row r="87" spans="1:26" x14ac:dyDescent="0.35">
      <c r="A87" s="2" t="s">
        <v>129</v>
      </c>
      <c r="B87" s="16">
        <v>46298</v>
      </c>
      <c r="C87" s="2" t="s">
        <v>41</v>
      </c>
      <c r="D87" s="2" t="s">
        <v>20</v>
      </c>
      <c r="E87" s="2" t="s">
        <v>33</v>
      </c>
      <c r="F87" s="2" t="s">
        <v>22</v>
      </c>
      <c r="G87" s="2" t="s">
        <v>16</v>
      </c>
      <c r="H87" s="2" t="s">
        <v>29</v>
      </c>
      <c r="I87">
        <v>19</v>
      </c>
      <c r="J87">
        <v>25000</v>
      </c>
      <c r="K87">
        <v>0.1</v>
      </c>
      <c r="L87" s="2" t="s">
        <v>172</v>
      </c>
      <c r="M87" s="2" t="s">
        <v>212</v>
      </c>
      <c r="N87" s="2" t="s">
        <v>199</v>
      </c>
      <c r="O87">
        <v>475000</v>
      </c>
      <c r="P87">
        <v>47500</v>
      </c>
      <c r="Q87">
        <v>427500</v>
      </c>
      <c r="R87">
        <v>361000</v>
      </c>
      <c r="S87">
        <v>66500</v>
      </c>
      <c r="T87">
        <v>0.15555555555555556</v>
      </c>
      <c r="U87" s="1">
        <v>46296</v>
      </c>
      <c r="V87">
        <v>2026</v>
      </c>
      <c r="W87" s="2" t="s">
        <v>300</v>
      </c>
      <c r="X87" s="2" t="s">
        <v>301</v>
      </c>
      <c r="Y87" s="2" t="s">
        <v>296</v>
      </c>
      <c r="Z87" s="2" t="s">
        <v>297</v>
      </c>
    </row>
    <row r="88" spans="1:26" x14ac:dyDescent="0.35">
      <c r="A88" s="2" t="s">
        <v>130</v>
      </c>
      <c r="B88" s="16">
        <v>46300</v>
      </c>
      <c r="C88" s="2" t="s">
        <v>45</v>
      </c>
      <c r="D88" s="2" t="s">
        <v>26</v>
      </c>
      <c r="E88" s="2" t="s">
        <v>39</v>
      </c>
      <c r="F88" s="2" t="s">
        <v>28</v>
      </c>
      <c r="G88" s="2" t="s">
        <v>16</v>
      </c>
      <c r="H88" s="2" t="s">
        <v>17</v>
      </c>
      <c r="I88">
        <v>38</v>
      </c>
      <c r="J88">
        <v>5000</v>
      </c>
      <c r="K88">
        <v>0.05</v>
      </c>
      <c r="L88" s="2" t="s">
        <v>175</v>
      </c>
      <c r="M88" s="2" t="s">
        <v>213</v>
      </c>
      <c r="N88" s="2" t="s">
        <v>201</v>
      </c>
      <c r="O88">
        <v>190000</v>
      </c>
      <c r="P88">
        <v>9500</v>
      </c>
      <c r="Q88">
        <v>180500</v>
      </c>
      <c r="R88">
        <v>133000</v>
      </c>
      <c r="S88">
        <v>47500</v>
      </c>
      <c r="T88">
        <v>0.26315789473684209</v>
      </c>
      <c r="U88" s="1">
        <v>46296</v>
      </c>
      <c r="V88">
        <v>2026</v>
      </c>
      <c r="W88" s="2" t="s">
        <v>294</v>
      </c>
      <c r="X88" s="2" t="s">
        <v>295</v>
      </c>
      <c r="Y88" s="2" t="s">
        <v>296</v>
      </c>
      <c r="Z88" s="2" t="s">
        <v>297</v>
      </c>
    </row>
    <row r="89" spans="1:26" x14ac:dyDescent="0.35">
      <c r="A89" s="2" t="s">
        <v>131</v>
      </c>
      <c r="B89" s="16">
        <v>46303</v>
      </c>
      <c r="C89" s="2" t="s">
        <v>47</v>
      </c>
      <c r="D89" s="2" t="s">
        <v>32</v>
      </c>
      <c r="E89" s="2" t="s">
        <v>43</v>
      </c>
      <c r="F89" s="2" t="s">
        <v>34</v>
      </c>
      <c r="G89" s="2" t="s">
        <v>16</v>
      </c>
      <c r="H89" s="2" t="s">
        <v>35</v>
      </c>
      <c r="I89">
        <v>55</v>
      </c>
      <c r="J89">
        <v>2000</v>
      </c>
      <c r="K89">
        <v>0</v>
      </c>
      <c r="L89" s="2" t="s">
        <v>178</v>
      </c>
      <c r="M89" s="2" t="s">
        <v>214</v>
      </c>
      <c r="N89" s="2" t="s">
        <v>202</v>
      </c>
      <c r="O89">
        <v>110000</v>
      </c>
      <c r="P89">
        <v>0</v>
      </c>
      <c r="Q89">
        <v>110000</v>
      </c>
      <c r="R89">
        <v>66000</v>
      </c>
      <c r="S89">
        <v>44000</v>
      </c>
      <c r="T89">
        <v>0.4</v>
      </c>
      <c r="U89" s="1">
        <v>46296</v>
      </c>
      <c r="V89">
        <v>2026</v>
      </c>
      <c r="W89" s="2" t="s">
        <v>299</v>
      </c>
      <c r="X89" s="2" t="s">
        <v>295</v>
      </c>
      <c r="Y89" s="2" t="s">
        <v>296</v>
      </c>
      <c r="Z89" s="2" t="s">
        <v>297</v>
      </c>
    </row>
    <row r="90" spans="1:26" x14ac:dyDescent="0.35">
      <c r="A90" s="2" t="s">
        <v>132</v>
      </c>
      <c r="B90" s="16">
        <v>46305</v>
      </c>
      <c r="C90" s="2" t="s">
        <v>49</v>
      </c>
      <c r="D90" s="2" t="s">
        <v>38</v>
      </c>
      <c r="E90" s="2" t="s">
        <v>14</v>
      </c>
      <c r="F90" s="2" t="s">
        <v>15</v>
      </c>
      <c r="G90" s="2" t="s">
        <v>16</v>
      </c>
      <c r="H90" s="2" t="s">
        <v>17</v>
      </c>
      <c r="I90">
        <v>10</v>
      </c>
      <c r="J90">
        <v>35000</v>
      </c>
      <c r="K90">
        <v>0.12</v>
      </c>
      <c r="L90" s="2" t="s">
        <v>179</v>
      </c>
      <c r="M90" s="2" t="s">
        <v>208</v>
      </c>
      <c r="N90" s="2" t="s">
        <v>203</v>
      </c>
      <c r="O90">
        <v>350000</v>
      </c>
      <c r="P90">
        <v>42000</v>
      </c>
      <c r="Q90">
        <v>308000</v>
      </c>
      <c r="R90">
        <v>270000</v>
      </c>
      <c r="S90">
        <v>38000</v>
      </c>
      <c r="T90">
        <v>0.12337662337662338</v>
      </c>
      <c r="U90" s="1">
        <v>46296</v>
      </c>
      <c r="V90">
        <v>2026</v>
      </c>
      <c r="W90" s="2" t="s">
        <v>300</v>
      </c>
      <c r="X90" s="2" t="s">
        <v>301</v>
      </c>
      <c r="Y90" s="2" t="s">
        <v>296</v>
      </c>
      <c r="Z90" s="2" t="s">
        <v>297</v>
      </c>
    </row>
    <row r="91" spans="1:26" x14ac:dyDescent="0.35">
      <c r="A91" s="2" t="s">
        <v>133</v>
      </c>
      <c r="B91" s="16">
        <v>46307</v>
      </c>
      <c r="C91" s="2" t="s">
        <v>51</v>
      </c>
      <c r="D91" s="2" t="s">
        <v>42</v>
      </c>
      <c r="E91" s="2" t="s">
        <v>21</v>
      </c>
      <c r="F91" s="2" t="s">
        <v>22</v>
      </c>
      <c r="G91" s="2" t="s">
        <v>16</v>
      </c>
      <c r="H91" s="2" t="s">
        <v>23</v>
      </c>
      <c r="I91">
        <v>26</v>
      </c>
      <c r="J91">
        <v>8000</v>
      </c>
      <c r="K91">
        <v>0.05</v>
      </c>
      <c r="L91" s="2" t="s">
        <v>182</v>
      </c>
      <c r="M91" s="2" t="s">
        <v>210</v>
      </c>
      <c r="N91" s="2" t="s">
        <v>204</v>
      </c>
      <c r="O91">
        <v>208000</v>
      </c>
      <c r="P91">
        <v>10400</v>
      </c>
      <c r="Q91">
        <v>197600</v>
      </c>
      <c r="R91">
        <v>135200</v>
      </c>
      <c r="S91">
        <v>62400</v>
      </c>
      <c r="T91">
        <v>0.31578947368421051</v>
      </c>
      <c r="U91" s="1">
        <v>46296</v>
      </c>
      <c r="V91">
        <v>2026</v>
      </c>
      <c r="W91" s="2" t="s">
        <v>294</v>
      </c>
      <c r="X91" s="2" t="s">
        <v>295</v>
      </c>
      <c r="Y91" s="2" t="s">
        <v>296</v>
      </c>
      <c r="Z91" s="2" t="s">
        <v>297</v>
      </c>
    </row>
    <row r="92" spans="1:26" x14ac:dyDescent="0.35">
      <c r="A92" s="2" t="s">
        <v>134</v>
      </c>
      <c r="B92" s="16">
        <v>46310</v>
      </c>
      <c r="C92" s="2" t="s">
        <v>12</v>
      </c>
      <c r="D92" s="2" t="s">
        <v>13</v>
      </c>
      <c r="E92" s="2" t="s">
        <v>27</v>
      </c>
      <c r="F92" s="2" t="s">
        <v>15</v>
      </c>
      <c r="G92" s="2" t="s">
        <v>16</v>
      </c>
      <c r="H92" s="2" t="s">
        <v>29</v>
      </c>
      <c r="I92">
        <v>8</v>
      </c>
      <c r="J92">
        <v>50000</v>
      </c>
      <c r="K92">
        <v>0.1</v>
      </c>
      <c r="L92" s="2" t="s">
        <v>169</v>
      </c>
      <c r="M92" s="2" t="s">
        <v>211</v>
      </c>
      <c r="N92" s="2" t="s">
        <v>188</v>
      </c>
      <c r="O92">
        <v>400000</v>
      </c>
      <c r="P92">
        <v>40000</v>
      </c>
      <c r="Q92">
        <v>360000</v>
      </c>
      <c r="R92">
        <v>312000</v>
      </c>
      <c r="S92">
        <v>48000</v>
      </c>
      <c r="T92">
        <v>0.13333333333333333</v>
      </c>
      <c r="U92" s="1">
        <v>46296</v>
      </c>
      <c r="V92">
        <v>2026</v>
      </c>
      <c r="W92" s="2" t="s">
        <v>299</v>
      </c>
      <c r="X92" s="2" t="s">
        <v>295</v>
      </c>
      <c r="Y92" s="2" t="s">
        <v>296</v>
      </c>
      <c r="Z92" s="2" t="s">
        <v>297</v>
      </c>
    </row>
    <row r="93" spans="1:26" x14ac:dyDescent="0.35">
      <c r="A93" s="2" t="s">
        <v>135</v>
      </c>
      <c r="B93" s="16">
        <v>46313</v>
      </c>
      <c r="C93" s="2" t="s">
        <v>19</v>
      </c>
      <c r="D93" s="2" t="s">
        <v>20</v>
      </c>
      <c r="E93" s="2" t="s">
        <v>33</v>
      </c>
      <c r="F93" s="2" t="s">
        <v>22</v>
      </c>
      <c r="G93" s="2" t="s">
        <v>16</v>
      </c>
      <c r="H93" s="2" t="s">
        <v>17</v>
      </c>
      <c r="I93">
        <v>21</v>
      </c>
      <c r="J93">
        <v>25000</v>
      </c>
      <c r="K93">
        <v>0.12</v>
      </c>
      <c r="L93" s="2" t="s">
        <v>172</v>
      </c>
      <c r="M93" s="2" t="s">
        <v>212</v>
      </c>
      <c r="N93" s="2" t="s">
        <v>191</v>
      </c>
      <c r="O93">
        <v>525000</v>
      </c>
      <c r="P93">
        <v>63000</v>
      </c>
      <c r="Q93">
        <v>462000</v>
      </c>
      <c r="R93">
        <v>399000</v>
      </c>
      <c r="S93">
        <v>63000</v>
      </c>
      <c r="T93">
        <v>0.13636363636363635</v>
      </c>
      <c r="U93" s="1">
        <v>46296</v>
      </c>
      <c r="V93">
        <v>2026</v>
      </c>
      <c r="W93" s="2" t="s">
        <v>302</v>
      </c>
      <c r="X93" s="2" t="s">
        <v>301</v>
      </c>
      <c r="Y93" s="2" t="s">
        <v>296</v>
      </c>
      <c r="Z93" s="2" t="s">
        <v>297</v>
      </c>
    </row>
    <row r="94" spans="1:26" x14ac:dyDescent="0.35">
      <c r="A94" s="2" t="s">
        <v>136</v>
      </c>
      <c r="B94" s="16">
        <v>46315</v>
      </c>
      <c r="C94" s="2" t="s">
        <v>25</v>
      </c>
      <c r="D94" s="2" t="s">
        <v>26</v>
      </c>
      <c r="E94" s="2" t="s">
        <v>39</v>
      </c>
      <c r="F94" s="2" t="s">
        <v>28</v>
      </c>
      <c r="G94" s="2" t="s">
        <v>16</v>
      </c>
      <c r="H94" s="2" t="s">
        <v>23</v>
      </c>
      <c r="I94">
        <v>32</v>
      </c>
      <c r="J94">
        <v>5000</v>
      </c>
      <c r="K94">
        <v>0.05</v>
      </c>
      <c r="L94" s="2" t="s">
        <v>175</v>
      </c>
      <c r="M94" s="2" t="s">
        <v>213</v>
      </c>
      <c r="N94" s="2" t="s">
        <v>194</v>
      </c>
      <c r="O94">
        <v>160000</v>
      </c>
      <c r="P94">
        <v>8000</v>
      </c>
      <c r="Q94">
        <v>152000</v>
      </c>
      <c r="R94">
        <v>112000</v>
      </c>
      <c r="S94">
        <v>40000</v>
      </c>
      <c r="T94">
        <v>0.26315789473684209</v>
      </c>
      <c r="U94" s="1">
        <v>46296</v>
      </c>
      <c r="V94">
        <v>2026</v>
      </c>
      <c r="W94" s="2" t="s">
        <v>298</v>
      </c>
      <c r="X94" s="2" t="s">
        <v>295</v>
      </c>
      <c r="Y94" s="2" t="s">
        <v>296</v>
      </c>
      <c r="Z94" s="2" t="s">
        <v>297</v>
      </c>
    </row>
    <row r="95" spans="1:26" x14ac:dyDescent="0.35">
      <c r="A95" s="2" t="s">
        <v>137</v>
      </c>
      <c r="B95" s="16">
        <v>46317</v>
      </c>
      <c r="C95" s="2" t="s">
        <v>31</v>
      </c>
      <c r="D95" s="2" t="s">
        <v>32</v>
      </c>
      <c r="E95" s="2" t="s">
        <v>43</v>
      </c>
      <c r="F95" s="2" t="s">
        <v>34</v>
      </c>
      <c r="G95" s="2" t="s">
        <v>16</v>
      </c>
      <c r="H95" s="2" t="s">
        <v>35</v>
      </c>
      <c r="I95">
        <v>48</v>
      </c>
      <c r="J95">
        <v>2000</v>
      </c>
      <c r="K95">
        <v>0</v>
      </c>
      <c r="L95" s="2" t="s">
        <v>178</v>
      </c>
      <c r="M95" s="2" t="s">
        <v>214</v>
      </c>
      <c r="N95" s="2" t="s">
        <v>196</v>
      </c>
      <c r="O95">
        <v>96000</v>
      </c>
      <c r="P95">
        <v>0</v>
      </c>
      <c r="Q95">
        <v>96000</v>
      </c>
      <c r="R95">
        <v>57600</v>
      </c>
      <c r="S95">
        <v>38400</v>
      </c>
      <c r="T95">
        <v>0.4</v>
      </c>
      <c r="U95" s="1">
        <v>46296</v>
      </c>
      <c r="V95">
        <v>2026</v>
      </c>
      <c r="W95" s="2" t="s">
        <v>299</v>
      </c>
      <c r="X95" s="2" t="s">
        <v>295</v>
      </c>
      <c r="Y95" s="2" t="s">
        <v>296</v>
      </c>
      <c r="Z95" s="2" t="s">
        <v>297</v>
      </c>
    </row>
    <row r="96" spans="1:26" x14ac:dyDescent="0.35">
      <c r="A96" s="2" t="s">
        <v>138</v>
      </c>
      <c r="B96" s="16">
        <v>46320</v>
      </c>
      <c r="C96" s="2" t="s">
        <v>37</v>
      </c>
      <c r="D96" s="2" t="s">
        <v>38</v>
      </c>
      <c r="E96" s="2" t="s">
        <v>14</v>
      </c>
      <c r="F96" s="2" t="s">
        <v>15</v>
      </c>
      <c r="G96" s="2" t="s">
        <v>16</v>
      </c>
      <c r="H96" s="2" t="s">
        <v>17</v>
      </c>
      <c r="I96">
        <v>9</v>
      </c>
      <c r="J96">
        <v>35000</v>
      </c>
      <c r="K96">
        <v>0.08</v>
      </c>
      <c r="L96" s="2" t="s">
        <v>179</v>
      </c>
      <c r="M96" s="2" t="s">
        <v>208</v>
      </c>
      <c r="N96" s="2" t="s">
        <v>198</v>
      </c>
      <c r="O96">
        <v>315000</v>
      </c>
      <c r="P96">
        <v>25200</v>
      </c>
      <c r="Q96">
        <v>289800</v>
      </c>
      <c r="R96">
        <v>243000</v>
      </c>
      <c r="S96">
        <v>46800</v>
      </c>
      <c r="T96">
        <v>0.16149068322981366</v>
      </c>
      <c r="U96" s="1">
        <v>46296</v>
      </c>
      <c r="V96">
        <v>2026</v>
      </c>
      <c r="W96" s="2" t="s">
        <v>302</v>
      </c>
      <c r="X96" s="2" t="s">
        <v>301</v>
      </c>
      <c r="Y96" s="2" t="s">
        <v>296</v>
      </c>
      <c r="Z96" s="2" t="s">
        <v>297</v>
      </c>
    </row>
    <row r="97" spans="1:26" x14ac:dyDescent="0.35">
      <c r="A97" s="2" t="s">
        <v>139</v>
      </c>
      <c r="B97" s="16">
        <v>46323</v>
      </c>
      <c r="C97" s="2" t="s">
        <v>41</v>
      </c>
      <c r="D97" s="2" t="s">
        <v>42</v>
      </c>
      <c r="E97" s="2" t="s">
        <v>21</v>
      </c>
      <c r="F97" s="2" t="s">
        <v>22</v>
      </c>
      <c r="G97" s="2" t="s">
        <v>16</v>
      </c>
      <c r="H97" s="2" t="s">
        <v>23</v>
      </c>
      <c r="I97">
        <v>27</v>
      </c>
      <c r="J97">
        <v>8000</v>
      </c>
      <c r="K97">
        <v>0.05</v>
      </c>
      <c r="L97" s="2" t="s">
        <v>182</v>
      </c>
      <c r="M97" s="2" t="s">
        <v>210</v>
      </c>
      <c r="N97" s="2" t="s">
        <v>199</v>
      </c>
      <c r="O97">
        <v>216000</v>
      </c>
      <c r="P97">
        <v>10800</v>
      </c>
      <c r="Q97">
        <v>205200</v>
      </c>
      <c r="R97">
        <v>140400</v>
      </c>
      <c r="S97">
        <v>64800</v>
      </c>
      <c r="T97">
        <v>0.31578947368421051</v>
      </c>
      <c r="U97" s="1">
        <v>46296</v>
      </c>
      <c r="V97">
        <v>2026</v>
      </c>
      <c r="W97" s="2" t="s">
        <v>303</v>
      </c>
      <c r="X97" s="2" t="s">
        <v>295</v>
      </c>
      <c r="Y97" s="2" t="s">
        <v>296</v>
      </c>
      <c r="Z97" s="2" t="s">
        <v>297</v>
      </c>
    </row>
    <row r="98" spans="1:26" x14ac:dyDescent="0.35">
      <c r="A98" s="2" t="s">
        <v>140</v>
      </c>
      <c r="B98" s="16">
        <v>46328</v>
      </c>
      <c r="C98" s="2" t="s">
        <v>45</v>
      </c>
      <c r="D98" s="2" t="s">
        <v>13</v>
      </c>
      <c r="E98" s="2" t="s">
        <v>27</v>
      </c>
      <c r="F98" s="2" t="s">
        <v>28</v>
      </c>
      <c r="G98" s="2" t="s">
        <v>16</v>
      </c>
      <c r="H98" s="2" t="s">
        <v>29</v>
      </c>
      <c r="I98">
        <v>7</v>
      </c>
      <c r="J98">
        <v>50000</v>
      </c>
      <c r="K98">
        <v>0.12</v>
      </c>
      <c r="L98" s="2" t="s">
        <v>169</v>
      </c>
      <c r="M98" s="2" t="s">
        <v>211</v>
      </c>
      <c r="N98" s="2" t="s">
        <v>201</v>
      </c>
      <c r="O98">
        <v>350000</v>
      </c>
      <c r="P98">
        <v>42000</v>
      </c>
      <c r="Q98">
        <v>308000</v>
      </c>
      <c r="R98">
        <v>273000</v>
      </c>
      <c r="S98">
        <v>35000</v>
      </c>
      <c r="T98">
        <v>0.11363636363636363</v>
      </c>
      <c r="U98" s="1">
        <v>46327</v>
      </c>
      <c r="V98">
        <v>2026</v>
      </c>
      <c r="W98" s="2" t="s">
        <v>294</v>
      </c>
      <c r="X98" s="2" t="s">
        <v>295</v>
      </c>
      <c r="Y98" s="2" t="s">
        <v>296</v>
      </c>
      <c r="Z98" s="2" t="s">
        <v>297</v>
      </c>
    </row>
    <row r="99" spans="1:26" x14ac:dyDescent="0.35">
      <c r="A99" s="2" t="s">
        <v>141</v>
      </c>
      <c r="B99" s="16">
        <v>46331</v>
      </c>
      <c r="C99" s="2" t="s">
        <v>47</v>
      </c>
      <c r="D99" s="2" t="s">
        <v>20</v>
      </c>
      <c r="E99" s="2" t="s">
        <v>33</v>
      </c>
      <c r="F99" s="2" t="s">
        <v>34</v>
      </c>
      <c r="G99" s="2" t="s">
        <v>16</v>
      </c>
      <c r="H99" s="2" t="s">
        <v>17</v>
      </c>
      <c r="I99">
        <v>18</v>
      </c>
      <c r="J99">
        <v>25000</v>
      </c>
      <c r="K99">
        <v>0.1</v>
      </c>
      <c r="L99" s="2" t="s">
        <v>172</v>
      </c>
      <c r="M99" s="2" t="s">
        <v>212</v>
      </c>
      <c r="N99" s="2" t="s">
        <v>202</v>
      </c>
      <c r="O99">
        <v>450000</v>
      </c>
      <c r="P99">
        <v>45000</v>
      </c>
      <c r="Q99">
        <v>405000</v>
      </c>
      <c r="R99">
        <v>342000</v>
      </c>
      <c r="S99">
        <v>63000</v>
      </c>
      <c r="T99">
        <v>0.15555555555555556</v>
      </c>
      <c r="U99" s="1">
        <v>46327</v>
      </c>
      <c r="V99">
        <v>2026</v>
      </c>
      <c r="W99" s="2" t="s">
        <v>299</v>
      </c>
      <c r="X99" s="2" t="s">
        <v>295</v>
      </c>
      <c r="Y99" s="2" t="s">
        <v>296</v>
      </c>
      <c r="Z99" s="2" t="s">
        <v>297</v>
      </c>
    </row>
    <row r="100" spans="1:26" x14ac:dyDescent="0.35">
      <c r="A100" s="2" t="s">
        <v>142</v>
      </c>
      <c r="B100" s="16">
        <v>46334</v>
      </c>
      <c r="C100" s="2" t="s">
        <v>49</v>
      </c>
      <c r="D100" s="2" t="s">
        <v>26</v>
      </c>
      <c r="E100" s="2" t="s">
        <v>39</v>
      </c>
      <c r="F100" s="2" t="s">
        <v>15</v>
      </c>
      <c r="G100" s="2" t="s">
        <v>16</v>
      </c>
      <c r="H100" s="2" t="s">
        <v>23</v>
      </c>
      <c r="I100">
        <v>45</v>
      </c>
      <c r="J100">
        <v>5000</v>
      </c>
      <c r="K100">
        <v>0.05</v>
      </c>
      <c r="L100" s="2" t="s">
        <v>175</v>
      </c>
      <c r="M100" s="2" t="s">
        <v>213</v>
      </c>
      <c r="N100" s="2" t="s">
        <v>203</v>
      </c>
      <c r="O100">
        <v>225000</v>
      </c>
      <c r="P100">
        <v>11250</v>
      </c>
      <c r="Q100">
        <v>213750</v>
      </c>
      <c r="R100">
        <v>157500</v>
      </c>
      <c r="S100">
        <v>56250</v>
      </c>
      <c r="T100">
        <v>0.26315789473684209</v>
      </c>
      <c r="U100" s="1">
        <v>46327</v>
      </c>
      <c r="V100">
        <v>2026</v>
      </c>
      <c r="W100" s="2" t="s">
        <v>302</v>
      </c>
      <c r="X100" s="2" t="s">
        <v>301</v>
      </c>
      <c r="Y100" s="2" t="s">
        <v>296</v>
      </c>
      <c r="Z100" s="2" t="s">
        <v>297</v>
      </c>
    </row>
    <row r="101" spans="1:26" x14ac:dyDescent="0.35">
      <c r="A101" s="2" t="s">
        <v>143</v>
      </c>
      <c r="B101" s="16">
        <v>46336</v>
      </c>
      <c r="C101" s="2" t="s">
        <v>51</v>
      </c>
      <c r="D101" s="2" t="s">
        <v>32</v>
      </c>
      <c r="E101" s="2" t="s">
        <v>43</v>
      </c>
      <c r="F101" s="2" t="s">
        <v>22</v>
      </c>
      <c r="G101" s="2" t="s">
        <v>16</v>
      </c>
      <c r="H101" s="2" t="s">
        <v>35</v>
      </c>
      <c r="I101">
        <v>52</v>
      </c>
      <c r="J101">
        <v>2000</v>
      </c>
      <c r="K101">
        <v>0</v>
      </c>
      <c r="L101" s="2" t="s">
        <v>178</v>
      </c>
      <c r="M101" s="2" t="s">
        <v>214</v>
      </c>
      <c r="N101" s="2" t="s">
        <v>204</v>
      </c>
      <c r="O101">
        <v>104000</v>
      </c>
      <c r="P101">
        <v>0</v>
      </c>
      <c r="Q101">
        <v>104000</v>
      </c>
      <c r="R101">
        <v>62400</v>
      </c>
      <c r="S101">
        <v>41600</v>
      </c>
      <c r="T101">
        <v>0.4</v>
      </c>
      <c r="U101" s="1">
        <v>46327</v>
      </c>
      <c r="V101">
        <v>2026</v>
      </c>
      <c r="W101" s="2" t="s">
        <v>298</v>
      </c>
      <c r="X101" s="2" t="s">
        <v>295</v>
      </c>
      <c r="Y101" s="2" t="s">
        <v>296</v>
      </c>
      <c r="Z101" s="2" t="s">
        <v>297</v>
      </c>
    </row>
    <row r="102" spans="1:26" x14ac:dyDescent="0.35">
      <c r="A102" s="2" t="s">
        <v>144</v>
      </c>
      <c r="B102" s="16">
        <v>46338</v>
      </c>
      <c r="C102" s="2" t="s">
        <v>12</v>
      </c>
      <c r="D102" s="2" t="s">
        <v>38</v>
      </c>
      <c r="E102" s="2" t="s">
        <v>14</v>
      </c>
      <c r="F102" s="2" t="s">
        <v>28</v>
      </c>
      <c r="G102" s="2" t="s">
        <v>16</v>
      </c>
      <c r="H102" s="2" t="s">
        <v>29</v>
      </c>
      <c r="I102">
        <v>13</v>
      </c>
      <c r="J102">
        <v>35000</v>
      </c>
      <c r="K102">
        <v>0.1</v>
      </c>
      <c r="L102" s="2" t="s">
        <v>179</v>
      </c>
      <c r="M102" s="2" t="s">
        <v>208</v>
      </c>
      <c r="N102" s="2" t="s">
        <v>188</v>
      </c>
      <c r="O102">
        <v>455000</v>
      </c>
      <c r="P102">
        <v>45500</v>
      </c>
      <c r="Q102">
        <v>409500</v>
      </c>
      <c r="R102">
        <v>351000</v>
      </c>
      <c r="S102">
        <v>58500</v>
      </c>
      <c r="T102">
        <v>0.14285714285714285</v>
      </c>
      <c r="U102" s="1">
        <v>46327</v>
      </c>
      <c r="V102">
        <v>2026</v>
      </c>
      <c r="W102" s="2" t="s">
        <v>299</v>
      </c>
      <c r="X102" s="2" t="s">
        <v>295</v>
      </c>
      <c r="Y102" s="2" t="s">
        <v>296</v>
      </c>
      <c r="Z102" s="2" t="s">
        <v>297</v>
      </c>
    </row>
    <row r="103" spans="1:26" x14ac:dyDescent="0.35">
      <c r="A103" s="2" t="s">
        <v>145</v>
      </c>
      <c r="B103" s="16">
        <v>46341</v>
      </c>
      <c r="C103" s="2" t="s">
        <v>19</v>
      </c>
      <c r="D103" s="2" t="s">
        <v>42</v>
      </c>
      <c r="E103" s="2" t="s">
        <v>21</v>
      </c>
      <c r="F103" s="2" t="s">
        <v>34</v>
      </c>
      <c r="G103" s="2" t="s">
        <v>16</v>
      </c>
      <c r="H103" s="2" t="s">
        <v>17</v>
      </c>
      <c r="I103">
        <v>28</v>
      </c>
      <c r="J103">
        <v>8000</v>
      </c>
      <c r="K103">
        <v>0.05</v>
      </c>
      <c r="L103" s="2" t="s">
        <v>182</v>
      </c>
      <c r="M103" s="2" t="s">
        <v>210</v>
      </c>
      <c r="N103" s="2" t="s">
        <v>191</v>
      </c>
      <c r="O103">
        <v>224000</v>
      </c>
      <c r="P103">
        <v>11200</v>
      </c>
      <c r="Q103">
        <v>212800</v>
      </c>
      <c r="R103">
        <v>145600</v>
      </c>
      <c r="S103">
        <v>67200</v>
      </c>
      <c r="T103">
        <v>0.31578947368421051</v>
      </c>
      <c r="U103" s="1">
        <v>46327</v>
      </c>
      <c r="V103">
        <v>2026</v>
      </c>
      <c r="W103" s="2" t="s">
        <v>302</v>
      </c>
      <c r="X103" s="2" t="s">
        <v>301</v>
      </c>
      <c r="Y103" s="2" t="s">
        <v>296</v>
      </c>
      <c r="Z103" s="2" t="s">
        <v>297</v>
      </c>
    </row>
    <row r="104" spans="1:26" x14ac:dyDescent="0.35">
      <c r="A104" s="2" t="s">
        <v>146</v>
      </c>
      <c r="B104" s="16">
        <v>46344</v>
      </c>
      <c r="C104" s="2" t="s">
        <v>25</v>
      </c>
      <c r="D104" s="2" t="s">
        <v>13</v>
      </c>
      <c r="E104" s="2" t="s">
        <v>27</v>
      </c>
      <c r="F104" s="2" t="s">
        <v>15</v>
      </c>
      <c r="G104" s="2" t="s">
        <v>16</v>
      </c>
      <c r="H104" s="2" t="s">
        <v>23</v>
      </c>
      <c r="I104">
        <v>6</v>
      </c>
      <c r="J104">
        <v>50000</v>
      </c>
      <c r="K104">
        <v>0.15</v>
      </c>
      <c r="L104" s="2" t="s">
        <v>169</v>
      </c>
      <c r="M104" s="2" t="s">
        <v>211</v>
      </c>
      <c r="N104" s="2" t="s">
        <v>194</v>
      </c>
      <c r="O104">
        <v>300000</v>
      </c>
      <c r="P104">
        <v>45000</v>
      </c>
      <c r="Q104">
        <v>255000</v>
      </c>
      <c r="R104">
        <v>234000</v>
      </c>
      <c r="S104">
        <v>21000</v>
      </c>
      <c r="T104">
        <v>8.2352941176470587E-2</v>
      </c>
      <c r="U104" s="1">
        <v>46327</v>
      </c>
      <c r="V104">
        <v>2026</v>
      </c>
      <c r="W104" s="2" t="s">
        <v>303</v>
      </c>
      <c r="X104" s="2" t="s">
        <v>295</v>
      </c>
      <c r="Y104" s="2" t="s">
        <v>296</v>
      </c>
      <c r="Z104" s="2" t="s">
        <v>297</v>
      </c>
    </row>
    <row r="105" spans="1:26" x14ac:dyDescent="0.35">
      <c r="A105" s="2" t="s">
        <v>147</v>
      </c>
      <c r="B105" s="16">
        <v>46346</v>
      </c>
      <c r="C105" s="2" t="s">
        <v>31</v>
      </c>
      <c r="D105" s="2" t="s">
        <v>20</v>
      </c>
      <c r="E105" s="2" t="s">
        <v>33</v>
      </c>
      <c r="F105" s="2" t="s">
        <v>22</v>
      </c>
      <c r="G105" s="2" t="s">
        <v>16</v>
      </c>
      <c r="H105" s="2" t="s">
        <v>29</v>
      </c>
      <c r="I105">
        <v>22</v>
      </c>
      <c r="J105">
        <v>25000</v>
      </c>
      <c r="K105">
        <v>0.12</v>
      </c>
      <c r="L105" s="2" t="s">
        <v>172</v>
      </c>
      <c r="M105" s="2" t="s">
        <v>212</v>
      </c>
      <c r="N105" s="2" t="s">
        <v>196</v>
      </c>
      <c r="O105">
        <v>550000</v>
      </c>
      <c r="P105">
        <v>66000</v>
      </c>
      <c r="Q105">
        <v>484000</v>
      </c>
      <c r="R105">
        <v>418000</v>
      </c>
      <c r="S105">
        <v>66000</v>
      </c>
      <c r="T105">
        <v>0.13636363636363635</v>
      </c>
      <c r="U105" s="1">
        <v>46327</v>
      </c>
      <c r="V105">
        <v>2026</v>
      </c>
      <c r="W105" s="2" t="s">
        <v>304</v>
      </c>
      <c r="X105" s="2" t="s">
        <v>295</v>
      </c>
      <c r="Y105" s="2" t="s">
        <v>296</v>
      </c>
      <c r="Z105" s="2" t="s">
        <v>297</v>
      </c>
    </row>
    <row r="106" spans="1:26" x14ac:dyDescent="0.35">
      <c r="A106" s="2" t="s">
        <v>148</v>
      </c>
      <c r="B106" s="16">
        <v>46348</v>
      </c>
      <c r="C106" s="2" t="s">
        <v>37</v>
      </c>
      <c r="D106" s="2" t="s">
        <v>26</v>
      </c>
      <c r="E106" s="2" t="s">
        <v>39</v>
      </c>
      <c r="F106" s="2" t="s">
        <v>28</v>
      </c>
      <c r="G106" s="2" t="s">
        <v>16</v>
      </c>
      <c r="H106" s="2" t="s">
        <v>17</v>
      </c>
      <c r="I106">
        <v>40</v>
      </c>
      <c r="J106">
        <v>5000</v>
      </c>
      <c r="K106">
        <v>0.08</v>
      </c>
      <c r="L106" s="2" t="s">
        <v>175</v>
      </c>
      <c r="M106" s="2" t="s">
        <v>213</v>
      </c>
      <c r="N106" s="2" t="s">
        <v>198</v>
      </c>
      <c r="O106">
        <v>200000</v>
      </c>
      <c r="P106">
        <v>16000</v>
      </c>
      <c r="Q106">
        <v>184000</v>
      </c>
      <c r="R106">
        <v>140000</v>
      </c>
      <c r="S106">
        <v>44000</v>
      </c>
      <c r="T106">
        <v>0.2391304347826087</v>
      </c>
      <c r="U106" s="1">
        <v>46327</v>
      </c>
      <c r="V106">
        <v>2026</v>
      </c>
      <c r="W106" s="2" t="s">
        <v>302</v>
      </c>
      <c r="X106" s="2" t="s">
        <v>301</v>
      </c>
      <c r="Y106" s="2" t="s">
        <v>296</v>
      </c>
      <c r="Z106" s="2" t="s">
        <v>297</v>
      </c>
    </row>
    <row r="107" spans="1:26" x14ac:dyDescent="0.35">
      <c r="A107" s="2" t="s">
        <v>149</v>
      </c>
      <c r="B107" s="16">
        <v>46351</v>
      </c>
      <c r="C107" s="2" t="s">
        <v>41</v>
      </c>
      <c r="D107" s="2" t="s">
        <v>32</v>
      </c>
      <c r="E107" s="2" t="s">
        <v>43</v>
      </c>
      <c r="F107" s="2" t="s">
        <v>34</v>
      </c>
      <c r="G107" s="2" t="s">
        <v>16</v>
      </c>
      <c r="H107" s="2" t="s">
        <v>35</v>
      </c>
      <c r="I107">
        <v>58</v>
      </c>
      <c r="J107">
        <v>2000</v>
      </c>
      <c r="K107">
        <v>0</v>
      </c>
      <c r="L107" s="2" t="s">
        <v>178</v>
      </c>
      <c r="M107" s="2" t="s">
        <v>214</v>
      </c>
      <c r="N107" s="2" t="s">
        <v>199</v>
      </c>
      <c r="O107">
        <v>116000</v>
      </c>
      <c r="P107">
        <v>0</v>
      </c>
      <c r="Q107">
        <v>116000</v>
      </c>
      <c r="R107">
        <v>69600</v>
      </c>
      <c r="S107">
        <v>46400</v>
      </c>
      <c r="T107">
        <v>0.4</v>
      </c>
      <c r="U107" s="1">
        <v>46327</v>
      </c>
      <c r="V107">
        <v>2026</v>
      </c>
      <c r="W107" s="2" t="s">
        <v>303</v>
      </c>
      <c r="X107" s="2" t="s">
        <v>295</v>
      </c>
      <c r="Y107" s="2" t="s">
        <v>296</v>
      </c>
      <c r="Z107" s="2" t="s">
        <v>297</v>
      </c>
    </row>
    <row r="108" spans="1:26" x14ac:dyDescent="0.35">
      <c r="A108" s="2" t="s">
        <v>150</v>
      </c>
      <c r="B108" s="16">
        <v>46354</v>
      </c>
      <c r="C108" s="2" t="s">
        <v>45</v>
      </c>
      <c r="D108" s="2" t="s">
        <v>38</v>
      </c>
      <c r="E108" s="2" t="s">
        <v>14</v>
      </c>
      <c r="F108" s="2" t="s">
        <v>15</v>
      </c>
      <c r="G108" s="2" t="s">
        <v>16</v>
      </c>
      <c r="H108" s="2" t="s">
        <v>17</v>
      </c>
      <c r="I108">
        <v>11</v>
      </c>
      <c r="J108">
        <v>35000</v>
      </c>
      <c r="K108">
        <v>0.1</v>
      </c>
      <c r="L108" s="2" t="s">
        <v>179</v>
      </c>
      <c r="M108" s="2" t="s">
        <v>208</v>
      </c>
      <c r="N108" s="2" t="s">
        <v>201</v>
      </c>
      <c r="O108">
        <v>385000</v>
      </c>
      <c r="P108">
        <v>38500</v>
      </c>
      <c r="Q108">
        <v>346500</v>
      </c>
      <c r="R108">
        <v>297000</v>
      </c>
      <c r="S108">
        <v>49500</v>
      </c>
      <c r="T108">
        <v>0.14285714285714285</v>
      </c>
      <c r="U108" s="1">
        <v>46327</v>
      </c>
      <c r="V108">
        <v>2026</v>
      </c>
      <c r="W108" s="2" t="s">
        <v>300</v>
      </c>
      <c r="X108" s="2" t="s">
        <v>301</v>
      </c>
      <c r="Y108" s="2" t="s">
        <v>296</v>
      </c>
      <c r="Z108" s="2" t="s">
        <v>297</v>
      </c>
    </row>
    <row r="109" spans="1:26" x14ac:dyDescent="0.35">
      <c r="A109" s="2" t="s">
        <v>151</v>
      </c>
      <c r="B109" s="16">
        <v>46356</v>
      </c>
      <c r="C109" s="2" t="s">
        <v>47</v>
      </c>
      <c r="D109" s="2" t="s">
        <v>42</v>
      </c>
      <c r="E109" s="2" t="s">
        <v>21</v>
      </c>
      <c r="F109" s="2" t="s">
        <v>22</v>
      </c>
      <c r="G109" s="2" t="s">
        <v>16</v>
      </c>
      <c r="H109" s="2" t="s">
        <v>23</v>
      </c>
      <c r="I109">
        <v>30</v>
      </c>
      <c r="J109">
        <v>8000</v>
      </c>
      <c r="K109">
        <v>0.05</v>
      </c>
      <c r="L109" s="2" t="s">
        <v>182</v>
      </c>
      <c r="M109" s="2" t="s">
        <v>210</v>
      </c>
      <c r="N109" s="2" t="s">
        <v>202</v>
      </c>
      <c r="O109">
        <v>240000</v>
      </c>
      <c r="P109">
        <v>12000</v>
      </c>
      <c r="Q109">
        <v>228000</v>
      </c>
      <c r="R109">
        <v>156000</v>
      </c>
      <c r="S109">
        <v>72000</v>
      </c>
      <c r="T109">
        <v>0.31578947368421051</v>
      </c>
      <c r="U109" s="1">
        <v>46327</v>
      </c>
      <c r="V109">
        <v>2026</v>
      </c>
      <c r="W109" s="2" t="s">
        <v>294</v>
      </c>
      <c r="X109" s="2" t="s">
        <v>295</v>
      </c>
      <c r="Y109" s="2" t="s">
        <v>296</v>
      </c>
      <c r="Z109" s="2" t="s">
        <v>297</v>
      </c>
    </row>
    <row r="110" spans="1:26" x14ac:dyDescent="0.35">
      <c r="A110" s="2" t="s">
        <v>152</v>
      </c>
      <c r="B110" s="16">
        <v>46358</v>
      </c>
      <c r="C110" s="2" t="s">
        <v>49</v>
      </c>
      <c r="D110" s="2" t="s">
        <v>13</v>
      </c>
      <c r="E110" s="2" t="s">
        <v>27</v>
      </c>
      <c r="F110" s="2" t="s">
        <v>28</v>
      </c>
      <c r="G110" s="2" t="s">
        <v>16</v>
      </c>
      <c r="H110" s="2" t="s">
        <v>29</v>
      </c>
      <c r="I110">
        <v>8</v>
      </c>
      <c r="J110">
        <v>50000</v>
      </c>
      <c r="K110">
        <v>0.1</v>
      </c>
      <c r="L110" s="2" t="s">
        <v>169</v>
      </c>
      <c r="M110" s="2" t="s">
        <v>211</v>
      </c>
      <c r="N110" s="2" t="s">
        <v>203</v>
      </c>
      <c r="O110">
        <v>400000</v>
      </c>
      <c r="P110">
        <v>40000</v>
      </c>
      <c r="Q110">
        <v>360000</v>
      </c>
      <c r="R110">
        <v>312000</v>
      </c>
      <c r="S110">
        <v>48000</v>
      </c>
      <c r="T110">
        <v>0.13333333333333333</v>
      </c>
      <c r="U110" s="1">
        <v>46357</v>
      </c>
      <c r="V110">
        <v>2026</v>
      </c>
      <c r="W110" s="2" t="s">
        <v>303</v>
      </c>
      <c r="X110" s="2" t="s">
        <v>295</v>
      </c>
      <c r="Y110" s="2" t="s">
        <v>296</v>
      </c>
      <c r="Z110" s="2" t="s">
        <v>297</v>
      </c>
    </row>
    <row r="111" spans="1:26" x14ac:dyDescent="0.35">
      <c r="A111" s="2" t="s">
        <v>153</v>
      </c>
      <c r="B111" s="16">
        <v>46360</v>
      </c>
      <c r="C111" s="2" t="s">
        <v>51</v>
      </c>
      <c r="D111" s="2" t="s">
        <v>20</v>
      </c>
      <c r="E111" s="2" t="s">
        <v>33</v>
      </c>
      <c r="F111" s="2" t="s">
        <v>34</v>
      </c>
      <c r="G111" s="2" t="s">
        <v>16</v>
      </c>
      <c r="H111" s="2" t="s">
        <v>17</v>
      </c>
      <c r="I111">
        <v>20</v>
      </c>
      <c r="J111">
        <v>25000</v>
      </c>
      <c r="K111">
        <v>0.15</v>
      </c>
      <c r="L111" s="2" t="s">
        <v>172</v>
      </c>
      <c r="M111" s="2" t="s">
        <v>212</v>
      </c>
      <c r="N111" s="2" t="s">
        <v>204</v>
      </c>
      <c r="O111">
        <v>500000</v>
      </c>
      <c r="P111">
        <v>75000</v>
      </c>
      <c r="Q111">
        <v>425000</v>
      </c>
      <c r="R111">
        <v>380000</v>
      </c>
      <c r="S111">
        <v>45000</v>
      </c>
      <c r="T111">
        <v>0.10588235294117647</v>
      </c>
      <c r="U111" s="1">
        <v>46357</v>
      </c>
      <c r="V111">
        <v>2026</v>
      </c>
      <c r="W111" s="2" t="s">
        <v>304</v>
      </c>
      <c r="X111" s="2" t="s">
        <v>295</v>
      </c>
      <c r="Y111" s="2" t="s">
        <v>296</v>
      </c>
      <c r="Z111" s="2" t="s">
        <v>297</v>
      </c>
    </row>
    <row r="112" spans="1:26" x14ac:dyDescent="0.35">
      <c r="A112" s="2" t="s">
        <v>154</v>
      </c>
      <c r="B112" s="16">
        <v>46362</v>
      </c>
      <c r="C112" s="2" t="s">
        <v>12</v>
      </c>
      <c r="D112" s="2" t="s">
        <v>26</v>
      </c>
      <c r="E112" s="2" t="s">
        <v>39</v>
      </c>
      <c r="F112" s="2" t="s">
        <v>15</v>
      </c>
      <c r="G112" s="2" t="s">
        <v>16</v>
      </c>
      <c r="H112" s="2" t="s">
        <v>23</v>
      </c>
      <c r="I112">
        <v>48</v>
      </c>
      <c r="J112">
        <v>5000</v>
      </c>
      <c r="K112">
        <v>0.05</v>
      </c>
      <c r="L112" s="2" t="s">
        <v>175</v>
      </c>
      <c r="M112" s="2" t="s">
        <v>213</v>
      </c>
      <c r="N112" s="2" t="s">
        <v>188</v>
      </c>
      <c r="O112">
        <v>240000</v>
      </c>
      <c r="P112">
        <v>12000</v>
      </c>
      <c r="Q112">
        <v>228000</v>
      </c>
      <c r="R112">
        <v>168000</v>
      </c>
      <c r="S112">
        <v>60000</v>
      </c>
      <c r="T112">
        <v>0.26315789473684209</v>
      </c>
      <c r="U112" s="1">
        <v>46357</v>
      </c>
      <c r="V112">
        <v>2026</v>
      </c>
      <c r="W112" s="2" t="s">
        <v>302</v>
      </c>
      <c r="X112" s="2" t="s">
        <v>301</v>
      </c>
      <c r="Y112" s="2" t="s">
        <v>296</v>
      </c>
      <c r="Z112" s="2" t="s">
        <v>297</v>
      </c>
    </row>
    <row r="113" spans="1:26" x14ac:dyDescent="0.35">
      <c r="A113" s="2" t="s">
        <v>155</v>
      </c>
      <c r="B113" s="16">
        <v>46364</v>
      </c>
      <c r="C113" s="2" t="s">
        <v>19</v>
      </c>
      <c r="D113" s="2" t="s">
        <v>32</v>
      </c>
      <c r="E113" s="2" t="s">
        <v>43</v>
      </c>
      <c r="F113" s="2" t="s">
        <v>22</v>
      </c>
      <c r="G113" s="2" t="s">
        <v>16</v>
      </c>
      <c r="H113" s="2" t="s">
        <v>35</v>
      </c>
      <c r="I113">
        <v>55</v>
      </c>
      <c r="J113">
        <v>2000</v>
      </c>
      <c r="K113">
        <v>0</v>
      </c>
      <c r="L113" s="2" t="s">
        <v>178</v>
      </c>
      <c r="M113" s="2" t="s">
        <v>214</v>
      </c>
      <c r="N113" s="2" t="s">
        <v>191</v>
      </c>
      <c r="O113">
        <v>110000</v>
      </c>
      <c r="P113">
        <v>0</v>
      </c>
      <c r="Q113">
        <v>110000</v>
      </c>
      <c r="R113">
        <v>66000</v>
      </c>
      <c r="S113">
        <v>44000</v>
      </c>
      <c r="T113">
        <v>0.4</v>
      </c>
      <c r="U113" s="1">
        <v>46357</v>
      </c>
      <c r="V113">
        <v>2026</v>
      </c>
      <c r="W113" s="2" t="s">
        <v>298</v>
      </c>
      <c r="X113" s="2" t="s">
        <v>295</v>
      </c>
      <c r="Y113" s="2" t="s">
        <v>296</v>
      </c>
      <c r="Z113" s="2" t="s">
        <v>297</v>
      </c>
    </row>
    <row r="114" spans="1:26" x14ac:dyDescent="0.35">
      <c r="A114" s="2" t="s">
        <v>156</v>
      </c>
      <c r="B114" s="16">
        <v>46366</v>
      </c>
      <c r="C114" s="2" t="s">
        <v>25</v>
      </c>
      <c r="D114" s="2" t="s">
        <v>38</v>
      </c>
      <c r="E114" s="2" t="s">
        <v>14</v>
      </c>
      <c r="F114" s="2" t="s">
        <v>28</v>
      </c>
      <c r="G114" s="2" t="s">
        <v>16</v>
      </c>
      <c r="H114" s="2" t="s">
        <v>29</v>
      </c>
      <c r="I114">
        <v>14</v>
      </c>
      <c r="J114">
        <v>35000</v>
      </c>
      <c r="K114">
        <v>0.1</v>
      </c>
      <c r="L114" s="2" t="s">
        <v>179</v>
      </c>
      <c r="M114" s="2" t="s">
        <v>208</v>
      </c>
      <c r="N114" s="2" t="s">
        <v>194</v>
      </c>
      <c r="O114">
        <v>490000</v>
      </c>
      <c r="P114">
        <v>49000</v>
      </c>
      <c r="Q114">
        <v>441000</v>
      </c>
      <c r="R114">
        <v>378000</v>
      </c>
      <c r="S114">
        <v>63000</v>
      </c>
      <c r="T114">
        <v>0.14285714285714285</v>
      </c>
      <c r="U114" s="1">
        <v>46357</v>
      </c>
      <c r="V114">
        <v>2026</v>
      </c>
      <c r="W114" s="2" t="s">
        <v>299</v>
      </c>
      <c r="X114" s="2" t="s">
        <v>295</v>
      </c>
      <c r="Y114" s="2" t="s">
        <v>296</v>
      </c>
      <c r="Z114" s="2" t="s">
        <v>297</v>
      </c>
    </row>
    <row r="115" spans="1:26" x14ac:dyDescent="0.35">
      <c r="A115" s="2" t="s">
        <v>157</v>
      </c>
      <c r="B115" s="16">
        <v>46368</v>
      </c>
      <c r="C115" s="2" t="s">
        <v>31</v>
      </c>
      <c r="D115" s="2" t="s">
        <v>42</v>
      </c>
      <c r="E115" s="2" t="s">
        <v>21</v>
      </c>
      <c r="F115" s="2" t="s">
        <v>34</v>
      </c>
      <c r="G115" s="2" t="s">
        <v>16</v>
      </c>
      <c r="H115" s="2" t="s">
        <v>17</v>
      </c>
      <c r="I115">
        <v>32</v>
      </c>
      <c r="J115">
        <v>8000</v>
      </c>
      <c r="K115">
        <v>0.05</v>
      </c>
      <c r="L115" s="2" t="s">
        <v>182</v>
      </c>
      <c r="M115" s="2" t="s">
        <v>210</v>
      </c>
      <c r="N115" s="2" t="s">
        <v>196</v>
      </c>
      <c r="O115">
        <v>256000</v>
      </c>
      <c r="P115">
        <v>12800</v>
      </c>
      <c r="Q115">
        <v>243200</v>
      </c>
      <c r="R115">
        <v>166400</v>
      </c>
      <c r="S115">
        <v>76800</v>
      </c>
      <c r="T115">
        <v>0.31578947368421051</v>
      </c>
      <c r="U115" s="1">
        <v>46357</v>
      </c>
      <c r="V115">
        <v>2026</v>
      </c>
      <c r="W115" s="2" t="s">
        <v>300</v>
      </c>
      <c r="X115" s="2" t="s">
        <v>301</v>
      </c>
      <c r="Y115" s="2" t="s">
        <v>296</v>
      </c>
      <c r="Z115" s="2" t="s">
        <v>297</v>
      </c>
    </row>
    <row r="116" spans="1:26" x14ac:dyDescent="0.35">
      <c r="A116" s="2" t="s">
        <v>158</v>
      </c>
      <c r="B116" s="16">
        <v>46370</v>
      </c>
      <c r="C116" s="2" t="s">
        <v>37</v>
      </c>
      <c r="D116" s="2" t="s">
        <v>13</v>
      </c>
      <c r="E116" s="2" t="s">
        <v>27</v>
      </c>
      <c r="F116" s="2" t="s">
        <v>15</v>
      </c>
      <c r="G116" s="2" t="s">
        <v>16</v>
      </c>
      <c r="H116" s="2" t="s">
        <v>23</v>
      </c>
      <c r="I116">
        <v>7</v>
      </c>
      <c r="J116">
        <v>50000</v>
      </c>
      <c r="K116">
        <v>0.12</v>
      </c>
      <c r="L116" s="2" t="s">
        <v>169</v>
      </c>
      <c r="M116" s="2" t="s">
        <v>211</v>
      </c>
      <c r="N116" s="2" t="s">
        <v>198</v>
      </c>
      <c r="O116">
        <v>350000</v>
      </c>
      <c r="P116">
        <v>42000</v>
      </c>
      <c r="Q116">
        <v>308000</v>
      </c>
      <c r="R116">
        <v>273000</v>
      </c>
      <c r="S116">
        <v>35000</v>
      </c>
      <c r="T116">
        <v>0.11363636363636363</v>
      </c>
      <c r="U116" s="1">
        <v>46357</v>
      </c>
      <c r="V116">
        <v>2026</v>
      </c>
      <c r="W116" s="2" t="s">
        <v>294</v>
      </c>
      <c r="X116" s="2" t="s">
        <v>295</v>
      </c>
      <c r="Y116" s="2" t="s">
        <v>296</v>
      </c>
      <c r="Z116" s="2" t="s">
        <v>297</v>
      </c>
    </row>
    <row r="117" spans="1:26" x14ac:dyDescent="0.35">
      <c r="A117" s="2" t="s">
        <v>159</v>
      </c>
      <c r="B117" s="16">
        <v>46372</v>
      </c>
      <c r="C117" s="2" t="s">
        <v>41</v>
      </c>
      <c r="D117" s="2" t="s">
        <v>20</v>
      </c>
      <c r="E117" s="2" t="s">
        <v>33</v>
      </c>
      <c r="F117" s="2" t="s">
        <v>22</v>
      </c>
      <c r="G117" s="2" t="s">
        <v>16</v>
      </c>
      <c r="H117" s="2" t="s">
        <v>29</v>
      </c>
      <c r="I117">
        <v>24</v>
      </c>
      <c r="J117">
        <v>25000</v>
      </c>
      <c r="K117">
        <v>0.1</v>
      </c>
      <c r="L117" s="2" t="s">
        <v>172</v>
      </c>
      <c r="M117" s="2" t="s">
        <v>212</v>
      </c>
      <c r="N117" s="2" t="s">
        <v>199</v>
      </c>
      <c r="O117">
        <v>600000</v>
      </c>
      <c r="P117">
        <v>60000</v>
      </c>
      <c r="Q117">
        <v>540000</v>
      </c>
      <c r="R117">
        <v>456000</v>
      </c>
      <c r="S117">
        <v>84000</v>
      </c>
      <c r="T117">
        <v>0.15555555555555556</v>
      </c>
      <c r="U117" s="1">
        <v>46357</v>
      </c>
      <c r="V117">
        <v>2026</v>
      </c>
      <c r="W117" s="2" t="s">
        <v>303</v>
      </c>
      <c r="X117" s="2" t="s">
        <v>295</v>
      </c>
      <c r="Y117" s="2" t="s">
        <v>296</v>
      </c>
      <c r="Z117" s="2" t="s">
        <v>297</v>
      </c>
    </row>
    <row r="118" spans="1:26" x14ac:dyDescent="0.35">
      <c r="A118" s="2" t="s">
        <v>160</v>
      </c>
      <c r="B118" s="16">
        <v>46374</v>
      </c>
      <c r="C118" s="2" t="s">
        <v>45</v>
      </c>
      <c r="D118" s="2" t="s">
        <v>26</v>
      </c>
      <c r="E118" s="2" t="s">
        <v>39</v>
      </c>
      <c r="F118" s="2" t="s">
        <v>28</v>
      </c>
      <c r="G118" s="2" t="s">
        <v>16</v>
      </c>
      <c r="H118" s="2" t="s">
        <v>17</v>
      </c>
      <c r="I118">
        <v>42</v>
      </c>
      <c r="J118">
        <v>5000</v>
      </c>
      <c r="K118">
        <v>0.05</v>
      </c>
      <c r="L118" s="2" t="s">
        <v>175</v>
      </c>
      <c r="M118" s="2" t="s">
        <v>213</v>
      </c>
      <c r="N118" s="2" t="s">
        <v>201</v>
      </c>
      <c r="O118">
        <v>210000</v>
      </c>
      <c r="P118">
        <v>10500</v>
      </c>
      <c r="Q118">
        <v>199500</v>
      </c>
      <c r="R118">
        <v>147000</v>
      </c>
      <c r="S118">
        <v>52500</v>
      </c>
      <c r="T118">
        <v>0.26315789473684209</v>
      </c>
      <c r="U118" s="1">
        <v>46357</v>
      </c>
      <c r="V118">
        <v>2026</v>
      </c>
      <c r="W118" s="2" t="s">
        <v>304</v>
      </c>
      <c r="X118" s="2" t="s">
        <v>295</v>
      </c>
      <c r="Y118" s="2" t="s">
        <v>296</v>
      </c>
      <c r="Z118" s="2" t="s">
        <v>297</v>
      </c>
    </row>
    <row r="119" spans="1:26" x14ac:dyDescent="0.35">
      <c r="A119" s="2" t="s">
        <v>161</v>
      </c>
      <c r="B119" s="16">
        <v>46376</v>
      </c>
      <c r="C119" s="2" t="s">
        <v>47</v>
      </c>
      <c r="D119" s="2" t="s">
        <v>32</v>
      </c>
      <c r="E119" s="2" t="s">
        <v>43</v>
      </c>
      <c r="F119" s="2" t="s">
        <v>34</v>
      </c>
      <c r="G119" s="2" t="s">
        <v>16</v>
      </c>
      <c r="H119" s="2" t="s">
        <v>35</v>
      </c>
      <c r="I119">
        <v>60</v>
      </c>
      <c r="J119">
        <v>2000</v>
      </c>
      <c r="K119">
        <v>0</v>
      </c>
      <c r="L119" s="2" t="s">
        <v>178</v>
      </c>
      <c r="M119" s="2" t="s">
        <v>214</v>
      </c>
      <c r="N119" s="2" t="s">
        <v>202</v>
      </c>
      <c r="O119">
        <v>120000</v>
      </c>
      <c r="P119">
        <v>0</v>
      </c>
      <c r="Q119">
        <v>120000</v>
      </c>
      <c r="R119">
        <v>72000</v>
      </c>
      <c r="S119">
        <v>48000</v>
      </c>
      <c r="T119">
        <v>0.4</v>
      </c>
      <c r="U119" s="1">
        <v>46357</v>
      </c>
      <c r="V119">
        <v>2026</v>
      </c>
      <c r="W119" s="2" t="s">
        <v>302</v>
      </c>
      <c r="X119" s="2" t="s">
        <v>301</v>
      </c>
      <c r="Y119" s="2" t="s">
        <v>296</v>
      </c>
      <c r="Z119" s="2" t="s">
        <v>297</v>
      </c>
    </row>
    <row r="120" spans="1:26" x14ac:dyDescent="0.35">
      <c r="A120" s="2" t="s">
        <v>162</v>
      </c>
      <c r="B120" s="16">
        <v>46378</v>
      </c>
      <c r="C120" s="2" t="s">
        <v>49</v>
      </c>
      <c r="D120" s="2" t="s">
        <v>38</v>
      </c>
      <c r="E120" s="2" t="s">
        <v>14</v>
      </c>
      <c r="F120" s="2" t="s">
        <v>15</v>
      </c>
      <c r="G120" s="2" t="s">
        <v>16</v>
      </c>
      <c r="H120" s="2" t="s">
        <v>17</v>
      </c>
      <c r="I120">
        <v>12</v>
      </c>
      <c r="J120">
        <v>35000</v>
      </c>
      <c r="K120">
        <v>0.08</v>
      </c>
      <c r="L120" s="2" t="s">
        <v>179</v>
      </c>
      <c r="M120" s="2" t="s">
        <v>208</v>
      </c>
      <c r="N120" s="2" t="s">
        <v>203</v>
      </c>
      <c r="O120">
        <v>420000</v>
      </c>
      <c r="P120">
        <v>33600</v>
      </c>
      <c r="Q120">
        <v>386400</v>
      </c>
      <c r="R120">
        <v>324000</v>
      </c>
      <c r="S120">
        <v>62400</v>
      </c>
      <c r="T120">
        <v>0.16149068322981366</v>
      </c>
      <c r="U120" s="1">
        <v>46357</v>
      </c>
      <c r="V120">
        <v>2026</v>
      </c>
      <c r="W120" s="2" t="s">
        <v>298</v>
      </c>
      <c r="X120" s="2" t="s">
        <v>295</v>
      </c>
      <c r="Y120" s="2" t="s">
        <v>296</v>
      </c>
      <c r="Z120" s="2" t="s">
        <v>297</v>
      </c>
    </row>
    <row r="121" spans="1:26" x14ac:dyDescent="0.35">
      <c r="A121" s="2" t="s">
        <v>163</v>
      </c>
      <c r="B121" s="16">
        <v>46380</v>
      </c>
      <c r="C121" s="2" t="s">
        <v>51</v>
      </c>
      <c r="D121" s="2" t="s">
        <v>42</v>
      </c>
      <c r="E121" s="2" t="s">
        <v>21</v>
      </c>
      <c r="F121" s="2" t="s">
        <v>22</v>
      </c>
      <c r="G121" s="2" t="s">
        <v>16</v>
      </c>
      <c r="H121" s="2" t="s">
        <v>23</v>
      </c>
      <c r="I121">
        <v>34</v>
      </c>
      <c r="J121">
        <v>8000</v>
      </c>
      <c r="K121">
        <v>0.05</v>
      </c>
      <c r="L121" s="2" t="s">
        <v>182</v>
      </c>
      <c r="M121" s="2" t="s">
        <v>210</v>
      </c>
      <c r="N121" s="2" t="s">
        <v>204</v>
      </c>
      <c r="O121">
        <v>272000</v>
      </c>
      <c r="P121">
        <v>13600</v>
      </c>
      <c r="Q121">
        <v>258400</v>
      </c>
      <c r="R121">
        <v>176800</v>
      </c>
      <c r="S121">
        <v>81600</v>
      </c>
      <c r="T121">
        <v>0.31578947368421051</v>
      </c>
      <c r="U121" s="1">
        <v>46357</v>
      </c>
      <c r="V121">
        <v>2026</v>
      </c>
      <c r="W121" s="2" t="s">
        <v>299</v>
      </c>
      <c r="X121" s="2" t="s">
        <v>295</v>
      </c>
      <c r="Y121" s="2" t="s">
        <v>296</v>
      </c>
      <c r="Z121" s="2" t="s">
        <v>297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EDEB-4E13-4DF8-959F-CBA88F9C269D}">
  <dimension ref="A1:F7"/>
  <sheetViews>
    <sheetView workbookViewId="0"/>
  </sheetViews>
  <sheetFormatPr defaultRowHeight="14.5" x14ac:dyDescent="0.35"/>
  <cols>
    <col min="1" max="1" width="11.81640625" bestFit="1" customWidth="1"/>
    <col min="2" max="2" width="14.90625" bestFit="1" customWidth="1"/>
    <col min="3" max="3" width="10.7265625" bestFit="1" customWidth="1"/>
    <col min="4" max="4" width="8" bestFit="1" customWidth="1"/>
    <col min="5" max="5" width="14.90625" bestFit="1" customWidth="1"/>
    <col min="6" max="6" width="13.453125" bestFit="1" customWidth="1"/>
  </cols>
  <sheetData>
    <row r="1" spans="1:6" x14ac:dyDescent="0.35">
      <c r="A1" t="s">
        <v>3</v>
      </c>
      <c r="B1" t="s">
        <v>164</v>
      </c>
      <c r="C1" t="s">
        <v>165</v>
      </c>
      <c r="D1" t="s">
        <v>166</v>
      </c>
      <c r="E1" t="s">
        <v>167</v>
      </c>
      <c r="F1" t="s">
        <v>168</v>
      </c>
    </row>
    <row r="2" spans="1:6" x14ac:dyDescent="0.35">
      <c r="A2" s="2" t="s">
        <v>13</v>
      </c>
      <c r="B2" s="2" t="s">
        <v>169</v>
      </c>
      <c r="C2" s="2" t="s">
        <v>170</v>
      </c>
      <c r="D2" s="2" t="s">
        <v>171</v>
      </c>
      <c r="E2">
        <v>39000</v>
      </c>
      <c r="F2">
        <v>50000</v>
      </c>
    </row>
    <row r="3" spans="1:6" x14ac:dyDescent="0.35">
      <c r="A3" s="2" t="s">
        <v>20</v>
      </c>
      <c r="B3" s="2" t="s">
        <v>172</v>
      </c>
      <c r="C3" s="2" t="s">
        <v>173</v>
      </c>
      <c r="D3" s="2" t="s">
        <v>174</v>
      </c>
      <c r="E3">
        <v>19000</v>
      </c>
      <c r="F3">
        <v>25000</v>
      </c>
    </row>
    <row r="4" spans="1:6" x14ac:dyDescent="0.35">
      <c r="A4" s="2" t="s">
        <v>26</v>
      </c>
      <c r="B4" s="2" t="s">
        <v>175</v>
      </c>
      <c r="C4" s="2" t="s">
        <v>176</v>
      </c>
      <c r="D4" s="2" t="s">
        <v>177</v>
      </c>
      <c r="E4">
        <v>3500</v>
      </c>
      <c r="F4">
        <v>5000</v>
      </c>
    </row>
    <row r="5" spans="1:6" x14ac:dyDescent="0.35">
      <c r="A5" s="2" t="s">
        <v>32</v>
      </c>
      <c r="B5" s="2" t="s">
        <v>178</v>
      </c>
      <c r="C5" s="2" t="s">
        <v>176</v>
      </c>
      <c r="D5" s="2" t="s">
        <v>177</v>
      </c>
      <c r="E5">
        <v>1200</v>
      </c>
      <c r="F5">
        <v>2000</v>
      </c>
    </row>
    <row r="6" spans="1:6" x14ac:dyDescent="0.35">
      <c r="A6" s="2" t="s">
        <v>38</v>
      </c>
      <c r="B6" s="2" t="s">
        <v>179</v>
      </c>
      <c r="C6" s="2" t="s">
        <v>180</v>
      </c>
      <c r="D6" s="2" t="s">
        <v>181</v>
      </c>
      <c r="E6">
        <v>27000</v>
      </c>
      <c r="F6">
        <v>35000</v>
      </c>
    </row>
    <row r="7" spans="1:6" x14ac:dyDescent="0.35">
      <c r="A7" s="2" t="s">
        <v>42</v>
      </c>
      <c r="B7" s="2" t="s">
        <v>182</v>
      </c>
      <c r="C7" s="2" t="s">
        <v>176</v>
      </c>
      <c r="D7" s="2" t="s">
        <v>183</v>
      </c>
      <c r="E7">
        <v>5200</v>
      </c>
      <c r="F7">
        <v>8000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10A37-C725-4ED2-96AF-00F2515D94C9}">
  <dimension ref="A1:E11"/>
  <sheetViews>
    <sheetView workbookViewId="0">
      <selection activeCell="E17" sqref="E17"/>
    </sheetView>
  </sheetViews>
  <sheetFormatPr defaultRowHeight="14.5" x14ac:dyDescent="0.35"/>
  <cols>
    <col min="1" max="1" width="13.453125" bestFit="1" customWidth="1"/>
    <col min="2" max="2" width="16.6328125" bestFit="1" customWidth="1"/>
    <col min="3" max="3" width="15.6328125" bestFit="1" customWidth="1"/>
    <col min="4" max="4" width="9.54296875" bestFit="1" customWidth="1"/>
    <col min="5" max="5" width="11.08984375" bestFit="1" customWidth="1"/>
  </cols>
  <sheetData>
    <row r="1" spans="1:5" x14ac:dyDescent="0.35">
      <c r="A1" t="s">
        <v>2</v>
      </c>
      <c r="B1" t="s">
        <v>184</v>
      </c>
      <c r="C1" t="s">
        <v>185</v>
      </c>
      <c r="D1" t="s">
        <v>186</v>
      </c>
      <c r="E1" t="s">
        <v>187</v>
      </c>
    </row>
    <row r="2" spans="1:5" x14ac:dyDescent="0.35">
      <c r="A2" s="2" t="s">
        <v>12</v>
      </c>
      <c r="B2" s="2" t="s">
        <v>188</v>
      </c>
      <c r="C2" s="2" t="s">
        <v>189</v>
      </c>
      <c r="D2" s="2" t="s">
        <v>15</v>
      </c>
      <c r="E2" s="2" t="s">
        <v>190</v>
      </c>
    </row>
    <row r="3" spans="1:5" x14ac:dyDescent="0.35">
      <c r="A3" s="2" t="s">
        <v>19</v>
      </c>
      <c r="B3" s="2" t="s">
        <v>191</v>
      </c>
      <c r="C3" s="2" t="s">
        <v>192</v>
      </c>
      <c r="D3" s="2" t="s">
        <v>22</v>
      </c>
      <c r="E3" s="2" t="s">
        <v>193</v>
      </c>
    </row>
    <row r="4" spans="1:5" x14ac:dyDescent="0.35">
      <c r="A4" s="2" t="s">
        <v>25</v>
      </c>
      <c r="B4" s="2" t="s">
        <v>194</v>
      </c>
      <c r="C4" s="2" t="s">
        <v>189</v>
      </c>
      <c r="D4" s="2" t="s">
        <v>28</v>
      </c>
      <c r="E4" s="2" t="s">
        <v>195</v>
      </c>
    </row>
    <row r="5" spans="1:5" x14ac:dyDescent="0.35">
      <c r="A5" s="2" t="s">
        <v>31</v>
      </c>
      <c r="B5" s="2" t="s">
        <v>196</v>
      </c>
      <c r="C5" s="2" t="s">
        <v>192</v>
      </c>
      <c r="D5" s="2" t="s">
        <v>34</v>
      </c>
      <c r="E5" s="2" t="s">
        <v>197</v>
      </c>
    </row>
    <row r="6" spans="1:5" x14ac:dyDescent="0.35">
      <c r="A6" s="2" t="s">
        <v>37</v>
      </c>
      <c r="B6" s="2" t="s">
        <v>198</v>
      </c>
      <c r="C6" s="2" t="s">
        <v>189</v>
      </c>
      <c r="D6" s="2" t="s">
        <v>15</v>
      </c>
      <c r="E6" s="2" t="s">
        <v>190</v>
      </c>
    </row>
    <row r="7" spans="1:5" x14ac:dyDescent="0.35">
      <c r="A7" s="2" t="s">
        <v>41</v>
      </c>
      <c r="B7" s="2" t="s">
        <v>199</v>
      </c>
      <c r="C7" s="2" t="s">
        <v>200</v>
      </c>
      <c r="D7" s="2" t="s">
        <v>22</v>
      </c>
      <c r="E7" s="2" t="s">
        <v>193</v>
      </c>
    </row>
    <row r="8" spans="1:5" x14ac:dyDescent="0.35">
      <c r="A8" s="2" t="s">
        <v>45</v>
      </c>
      <c r="B8" s="2" t="s">
        <v>201</v>
      </c>
      <c r="C8" s="2" t="s">
        <v>189</v>
      </c>
      <c r="D8" s="2" t="s">
        <v>28</v>
      </c>
      <c r="E8" s="2" t="s">
        <v>195</v>
      </c>
    </row>
    <row r="9" spans="1:5" x14ac:dyDescent="0.35">
      <c r="A9" s="2" t="s">
        <v>47</v>
      </c>
      <c r="B9" s="2" t="s">
        <v>202</v>
      </c>
      <c r="C9" s="2" t="s">
        <v>192</v>
      </c>
      <c r="D9" s="2" t="s">
        <v>34</v>
      </c>
      <c r="E9" s="2" t="s">
        <v>197</v>
      </c>
    </row>
    <row r="10" spans="1:5" x14ac:dyDescent="0.35">
      <c r="A10" s="2" t="s">
        <v>49</v>
      </c>
      <c r="B10" s="2" t="s">
        <v>203</v>
      </c>
      <c r="C10" s="2" t="s">
        <v>200</v>
      </c>
      <c r="D10" s="2" t="s">
        <v>15</v>
      </c>
      <c r="E10" s="2" t="s">
        <v>190</v>
      </c>
    </row>
    <row r="11" spans="1:5" x14ac:dyDescent="0.35">
      <c r="A11" s="2" t="s">
        <v>51</v>
      </c>
      <c r="B11" s="2" t="s">
        <v>204</v>
      </c>
      <c r="C11" s="2" t="s">
        <v>189</v>
      </c>
      <c r="D11" s="2" t="s">
        <v>22</v>
      </c>
      <c r="E11" s="2" t="s">
        <v>193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C534-ADE2-47EB-935E-F301C25F03FD}">
  <dimension ref="A1:C37"/>
  <sheetViews>
    <sheetView workbookViewId="0">
      <selection activeCell="B9" sqref="B9"/>
    </sheetView>
  </sheetViews>
  <sheetFormatPr defaultRowHeight="14.5" x14ac:dyDescent="0.35"/>
  <cols>
    <col min="1" max="1" width="10.08984375" bestFit="1" customWidth="1"/>
    <col min="2" max="2" width="9.54296875" bestFit="1" customWidth="1"/>
    <col min="3" max="3" width="13.08984375" bestFit="1" customWidth="1"/>
  </cols>
  <sheetData>
    <row r="1" spans="1:3" x14ac:dyDescent="0.35">
      <c r="A1" t="s">
        <v>221</v>
      </c>
      <c r="B1" t="s">
        <v>5</v>
      </c>
      <c r="C1" t="s">
        <v>246</v>
      </c>
    </row>
    <row r="2" spans="1:3" x14ac:dyDescent="0.35">
      <c r="A2" s="1">
        <v>46023</v>
      </c>
      <c r="B2" s="2" t="s">
        <v>15</v>
      </c>
      <c r="C2" s="2">
        <v>500000</v>
      </c>
    </row>
    <row r="3" spans="1:3" x14ac:dyDescent="0.35">
      <c r="A3" s="1">
        <v>46023</v>
      </c>
      <c r="B3" s="2" t="s">
        <v>22</v>
      </c>
      <c r="C3" s="2">
        <v>500000</v>
      </c>
    </row>
    <row r="4" spans="1:3" x14ac:dyDescent="0.35">
      <c r="A4" s="1">
        <v>46023</v>
      </c>
      <c r="B4" s="2" t="s">
        <v>28</v>
      </c>
      <c r="C4" s="2">
        <v>450000</v>
      </c>
    </row>
    <row r="5" spans="1:3" x14ac:dyDescent="0.35">
      <c r="A5" s="1">
        <v>46023</v>
      </c>
      <c r="B5" s="2" t="s">
        <v>34</v>
      </c>
      <c r="C5" s="2">
        <v>450000</v>
      </c>
    </row>
    <row r="6" spans="1:3" x14ac:dyDescent="0.35">
      <c r="A6" s="1">
        <v>46054</v>
      </c>
      <c r="B6" s="2" t="s">
        <v>15</v>
      </c>
      <c r="C6" s="2">
        <v>500000</v>
      </c>
    </row>
    <row r="7" spans="1:3" x14ac:dyDescent="0.35">
      <c r="A7" s="1">
        <v>46054</v>
      </c>
      <c r="B7" s="2" t="s">
        <v>22</v>
      </c>
      <c r="C7" s="2">
        <v>500000</v>
      </c>
    </row>
    <row r="8" spans="1:3" x14ac:dyDescent="0.35">
      <c r="A8" s="1">
        <v>46054</v>
      </c>
      <c r="B8" s="2" t="s">
        <v>28</v>
      </c>
      <c r="C8" s="2">
        <v>450000</v>
      </c>
    </row>
    <row r="9" spans="1:3" x14ac:dyDescent="0.35">
      <c r="A9" s="1">
        <v>46054</v>
      </c>
      <c r="B9" s="2" t="s">
        <v>34</v>
      </c>
      <c r="C9" s="2">
        <v>450000</v>
      </c>
    </row>
    <row r="10" spans="1:3" x14ac:dyDescent="0.35">
      <c r="A10" s="1">
        <v>46082</v>
      </c>
      <c r="B10" s="2" t="s">
        <v>15</v>
      </c>
      <c r="C10" s="2">
        <v>550000</v>
      </c>
    </row>
    <row r="11" spans="1:3" x14ac:dyDescent="0.35">
      <c r="A11" s="1">
        <v>46082</v>
      </c>
      <c r="B11" s="2" t="s">
        <v>22</v>
      </c>
      <c r="C11" s="2">
        <v>550000</v>
      </c>
    </row>
    <row r="12" spans="1:3" x14ac:dyDescent="0.35">
      <c r="A12" s="1">
        <v>46082</v>
      </c>
      <c r="B12" s="2" t="s">
        <v>28</v>
      </c>
      <c r="C12" s="2">
        <v>500000</v>
      </c>
    </row>
    <row r="13" spans="1:3" x14ac:dyDescent="0.35">
      <c r="A13" s="1">
        <v>46082</v>
      </c>
      <c r="B13" s="2" t="s">
        <v>34</v>
      </c>
      <c r="C13" s="2">
        <v>500000</v>
      </c>
    </row>
    <row r="14" spans="1:3" x14ac:dyDescent="0.35">
      <c r="A14" s="1">
        <v>46113</v>
      </c>
      <c r="B14" s="2" t="s">
        <v>15</v>
      </c>
      <c r="C14" s="2">
        <v>500000</v>
      </c>
    </row>
    <row r="15" spans="1:3" x14ac:dyDescent="0.35">
      <c r="A15" s="1">
        <v>46113</v>
      </c>
      <c r="B15" s="2" t="s">
        <v>22</v>
      </c>
      <c r="C15" s="2">
        <v>500000</v>
      </c>
    </row>
    <row r="16" spans="1:3" x14ac:dyDescent="0.35">
      <c r="A16" s="1">
        <v>46113</v>
      </c>
      <c r="B16" s="2" t="s">
        <v>28</v>
      </c>
      <c r="C16" s="2">
        <v>450000</v>
      </c>
    </row>
    <row r="17" spans="1:3" x14ac:dyDescent="0.35">
      <c r="A17" s="1">
        <v>46113</v>
      </c>
      <c r="B17" s="2" t="s">
        <v>34</v>
      </c>
      <c r="C17" s="2">
        <v>450000</v>
      </c>
    </row>
    <row r="18" spans="1:3" x14ac:dyDescent="0.35">
      <c r="A18" s="1">
        <v>46143</v>
      </c>
      <c r="B18" s="2" t="s">
        <v>15</v>
      </c>
      <c r="C18" s="2">
        <v>550000</v>
      </c>
    </row>
    <row r="19" spans="1:3" x14ac:dyDescent="0.35">
      <c r="A19" s="1">
        <v>46143</v>
      </c>
      <c r="B19" s="2" t="s">
        <v>22</v>
      </c>
      <c r="C19" s="2">
        <v>550000</v>
      </c>
    </row>
    <row r="20" spans="1:3" x14ac:dyDescent="0.35">
      <c r="A20" s="1">
        <v>46143</v>
      </c>
      <c r="B20" s="2" t="s">
        <v>28</v>
      </c>
      <c r="C20" s="2">
        <v>500000</v>
      </c>
    </row>
    <row r="21" spans="1:3" x14ac:dyDescent="0.35">
      <c r="A21" s="1">
        <v>46143</v>
      </c>
      <c r="B21" s="2" t="s">
        <v>34</v>
      </c>
      <c r="C21" s="2">
        <v>500000</v>
      </c>
    </row>
    <row r="22" spans="1:3" x14ac:dyDescent="0.35">
      <c r="A22" s="1">
        <v>46174</v>
      </c>
      <c r="B22" s="2" t="s">
        <v>15</v>
      </c>
      <c r="C22" s="2">
        <v>600000</v>
      </c>
    </row>
    <row r="23" spans="1:3" x14ac:dyDescent="0.35">
      <c r="A23" s="1">
        <v>46174</v>
      </c>
      <c r="B23" s="2" t="s">
        <v>22</v>
      </c>
      <c r="C23" s="2">
        <v>600000</v>
      </c>
    </row>
    <row r="24" spans="1:3" x14ac:dyDescent="0.35">
      <c r="A24" s="1">
        <v>46174</v>
      </c>
      <c r="B24" s="2" t="s">
        <v>28</v>
      </c>
      <c r="C24" s="2">
        <v>550000</v>
      </c>
    </row>
    <row r="25" spans="1:3" x14ac:dyDescent="0.35">
      <c r="A25" s="1">
        <v>46174</v>
      </c>
      <c r="B25" s="2" t="s">
        <v>34</v>
      </c>
      <c r="C25" s="2">
        <v>550000</v>
      </c>
    </row>
    <row r="26" spans="1:3" x14ac:dyDescent="0.35">
      <c r="A26" s="1">
        <v>46204</v>
      </c>
      <c r="B26" s="2" t="s">
        <v>15</v>
      </c>
      <c r="C26" s="2">
        <v>600000</v>
      </c>
    </row>
    <row r="27" spans="1:3" x14ac:dyDescent="0.35">
      <c r="A27" s="1">
        <v>46204</v>
      </c>
      <c r="B27" s="2" t="s">
        <v>22</v>
      </c>
      <c r="C27" s="2">
        <v>600000</v>
      </c>
    </row>
    <row r="28" spans="1:3" x14ac:dyDescent="0.35">
      <c r="A28" s="1">
        <v>46204</v>
      </c>
      <c r="B28" s="2" t="s">
        <v>28</v>
      </c>
      <c r="C28" s="2">
        <v>550000</v>
      </c>
    </row>
    <row r="29" spans="1:3" x14ac:dyDescent="0.35">
      <c r="A29" s="1">
        <v>46204</v>
      </c>
      <c r="B29" s="2" t="s">
        <v>34</v>
      </c>
      <c r="C29" s="2">
        <v>550000</v>
      </c>
    </row>
    <row r="30" spans="1:3" x14ac:dyDescent="0.35">
      <c r="A30" s="1">
        <v>46235</v>
      </c>
      <c r="B30" s="2" t="s">
        <v>15</v>
      </c>
      <c r="C30" s="2">
        <v>650000</v>
      </c>
    </row>
    <row r="31" spans="1:3" x14ac:dyDescent="0.35">
      <c r="A31" s="1">
        <v>46235</v>
      </c>
      <c r="B31" s="2" t="s">
        <v>22</v>
      </c>
      <c r="C31" s="2">
        <v>650000</v>
      </c>
    </row>
    <row r="32" spans="1:3" x14ac:dyDescent="0.35">
      <c r="A32" s="1">
        <v>46235</v>
      </c>
      <c r="B32" s="2" t="s">
        <v>28</v>
      </c>
      <c r="C32" s="2">
        <v>600000</v>
      </c>
    </row>
    <row r="33" spans="1:3" x14ac:dyDescent="0.35">
      <c r="A33" s="1">
        <v>46235</v>
      </c>
      <c r="B33" s="2" t="s">
        <v>34</v>
      </c>
      <c r="C33" s="2">
        <v>600000</v>
      </c>
    </row>
    <row r="34" spans="1:3" x14ac:dyDescent="0.35">
      <c r="A34" s="1">
        <v>46266</v>
      </c>
      <c r="B34" s="2" t="s">
        <v>15</v>
      </c>
      <c r="C34" s="2">
        <v>700000</v>
      </c>
    </row>
    <row r="35" spans="1:3" x14ac:dyDescent="0.35">
      <c r="A35" s="1">
        <v>46266</v>
      </c>
      <c r="B35" s="2" t="s">
        <v>22</v>
      </c>
      <c r="C35" s="2">
        <v>700000</v>
      </c>
    </row>
    <row r="36" spans="1:3" x14ac:dyDescent="0.35">
      <c r="A36" s="1">
        <v>46266</v>
      </c>
      <c r="B36" s="2" t="s">
        <v>28</v>
      </c>
      <c r="C36" s="2">
        <v>650000</v>
      </c>
    </row>
    <row r="37" spans="1:3" x14ac:dyDescent="0.35">
      <c r="A37" s="1">
        <v>46266</v>
      </c>
      <c r="B37" s="2" t="s">
        <v>34</v>
      </c>
      <c r="C37" s="2">
        <v>650000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5C60-4DAF-4B46-82F5-ED5B07AD99F1}">
  <dimension ref="A1:E7"/>
  <sheetViews>
    <sheetView workbookViewId="0"/>
  </sheetViews>
  <sheetFormatPr defaultRowHeight="14.5" x14ac:dyDescent="0.35"/>
  <cols>
    <col min="1" max="1" width="10.90625" bestFit="1" customWidth="1"/>
    <col min="2" max="2" width="9.90625" bestFit="1" customWidth="1"/>
    <col min="3" max="3" width="15.08984375" bestFit="1" customWidth="1"/>
    <col min="4" max="4" width="11.90625" bestFit="1" customWidth="1"/>
    <col min="5" max="5" width="19.6328125" bestFit="1" customWidth="1"/>
  </cols>
  <sheetData>
    <row r="1" spans="1:5" x14ac:dyDescent="0.35">
      <c r="A1" t="s">
        <v>247</v>
      </c>
      <c r="B1" t="s">
        <v>0</v>
      </c>
      <c r="C1" t="s">
        <v>248</v>
      </c>
      <c r="D1" t="s">
        <v>249</v>
      </c>
      <c r="E1" t="s">
        <v>250</v>
      </c>
    </row>
    <row r="2" spans="1:5" x14ac:dyDescent="0.35">
      <c r="A2" s="2" t="s">
        <v>251</v>
      </c>
      <c r="B2" s="2" t="s">
        <v>46</v>
      </c>
      <c r="C2" s="16">
        <v>46078</v>
      </c>
      <c r="D2">
        <v>2</v>
      </c>
      <c r="E2" s="2" t="s">
        <v>252</v>
      </c>
    </row>
    <row r="3" spans="1:5" x14ac:dyDescent="0.35">
      <c r="A3" s="2" t="s">
        <v>253</v>
      </c>
      <c r="B3" s="2" t="s">
        <v>56</v>
      </c>
      <c r="C3" s="16">
        <v>46093</v>
      </c>
      <c r="D3">
        <v>3</v>
      </c>
      <c r="E3" s="2" t="s">
        <v>254</v>
      </c>
    </row>
    <row r="4" spans="1:5" x14ac:dyDescent="0.35">
      <c r="A4" s="2" t="s">
        <v>255</v>
      </c>
      <c r="B4" s="2" t="s">
        <v>64</v>
      </c>
      <c r="C4" s="16">
        <v>46101</v>
      </c>
      <c r="D4">
        <v>5</v>
      </c>
      <c r="E4" s="2" t="s">
        <v>256</v>
      </c>
    </row>
    <row r="5" spans="1:5" x14ac:dyDescent="0.35">
      <c r="A5" s="2" t="s">
        <v>257</v>
      </c>
      <c r="B5" s="2" t="s">
        <v>74</v>
      </c>
      <c r="C5" s="16">
        <v>46130</v>
      </c>
      <c r="D5">
        <v>1</v>
      </c>
      <c r="E5" s="2" t="s">
        <v>252</v>
      </c>
    </row>
    <row r="6" spans="1:5" x14ac:dyDescent="0.35">
      <c r="A6" s="2" t="s">
        <v>258</v>
      </c>
      <c r="B6" s="2" t="s">
        <v>83</v>
      </c>
      <c r="C6" s="16">
        <v>46162</v>
      </c>
      <c r="D6">
        <v>4</v>
      </c>
      <c r="E6" s="2" t="s">
        <v>259</v>
      </c>
    </row>
    <row r="7" spans="1:5" x14ac:dyDescent="0.35">
      <c r="A7" s="2" t="s">
        <v>260</v>
      </c>
      <c r="B7" s="2" t="s">
        <v>98</v>
      </c>
      <c r="C7" s="16">
        <v>46223</v>
      </c>
      <c r="D7">
        <v>2</v>
      </c>
      <c r="E7" s="2" t="s">
        <v>254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2F1A-30F3-4CDD-BE70-E089970FA919}">
  <dimension ref="A1:D7"/>
  <sheetViews>
    <sheetView workbookViewId="0"/>
  </sheetViews>
  <sheetFormatPr defaultRowHeight="14.5" x14ac:dyDescent="0.35"/>
  <cols>
    <col min="1" max="1" width="13.453125" bestFit="1" customWidth="1"/>
    <col min="2" max="2" width="16.6328125" bestFit="1" customWidth="1"/>
    <col min="3" max="3" width="13.08984375" bestFit="1" customWidth="1"/>
    <col min="4" max="4" width="15.08984375" bestFit="1" customWidth="1"/>
  </cols>
  <sheetData>
    <row r="1" spans="1:4" x14ac:dyDescent="0.35">
      <c r="A1" t="s">
        <v>4</v>
      </c>
      <c r="B1" t="s">
        <v>205</v>
      </c>
      <c r="C1" t="s">
        <v>206</v>
      </c>
      <c r="D1" t="s">
        <v>207</v>
      </c>
    </row>
    <row r="2" spans="1:4" x14ac:dyDescent="0.35">
      <c r="A2" s="2" t="s">
        <v>14</v>
      </c>
      <c r="B2" s="2" t="s">
        <v>208</v>
      </c>
      <c r="C2" s="2" t="s">
        <v>209</v>
      </c>
      <c r="D2" s="16">
        <v>45458</v>
      </c>
    </row>
    <row r="3" spans="1:4" x14ac:dyDescent="0.35">
      <c r="A3" s="2" t="s">
        <v>21</v>
      </c>
      <c r="B3" s="2" t="s">
        <v>210</v>
      </c>
      <c r="C3" s="2" t="s">
        <v>209</v>
      </c>
      <c r="D3" s="16">
        <v>45514</v>
      </c>
    </row>
    <row r="4" spans="1:4" x14ac:dyDescent="0.35">
      <c r="A4" s="2" t="s">
        <v>27</v>
      </c>
      <c r="B4" s="2" t="s">
        <v>211</v>
      </c>
      <c r="C4" s="2" t="s">
        <v>209</v>
      </c>
      <c r="D4" s="16">
        <v>45677</v>
      </c>
    </row>
    <row r="5" spans="1:4" x14ac:dyDescent="0.35">
      <c r="A5" s="2" t="s">
        <v>33</v>
      </c>
      <c r="B5" s="2" t="s">
        <v>212</v>
      </c>
      <c r="C5" s="2" t="s">
        <v>209</v>
      </c>
      <c r="D5" s="16">
        <v>45721</v>
      </c>
    </row>
    <row r="6" spans="1:4" x14ac:dyDescent="0.35">
      <c r="A6" s="2" t="s">
        <v>39</v>
      </c>
      <c r="B6" s="2" t="s">
        <v>213</v>
      </c>
      <c r="C6" s="2" t="s">
        <v>209</v>
      </c>
      <c r="D6" s="16">
        <v>45789</v>
      </c>
    </row>
    <row r="7" spans="1:4" x14ac:dyDescent="0.35">
      <c r="A7" s="2" t="s">
        <v>43</v>
      </c>
      <c r="B7" s="2" t="s">
        <v>214</v>
      </c>
      <c r="C7" s="2" t="s">
        <v>209</v>
      </c>
      <c r="D7" s="16">
        <v>45856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20ACF05-C77C-4FE9-84A3-5C8E1E371209}">
  <ds:schemaRefs/>
</ds:datastoreItem>
</file>

<file path=customXml/itemProps2.xml><?xml version="1.0" encoding="utf-8"?>
<ds:datastoreItem xmlns:ds="http://schemas.openxmlformats.org/officeDocument/2006/customXml" ds:itemID="{33C4A5E3-1EDE-422D-83C9-6C2FC715DFDD}">
  <ds:schemaRefs/>
</ds:datastoreItem>
</file>

<file path=customXml/itemProps3.xml><?xml version="1.0" encoding="utf-8"?>
<ds:datastoreItem xmlns:ds="http://schemas.openxmlformats.org/officeDocument/2006/customXml" ds:itemID="{985B3E9C-3A80-46B5-ABC6-DA379FBB16BD}">
  <ds:schemaRefs/>
</ds:datastoreItem>
</file>

<file path=customXml/itemProps4.xml><?xml version="1.0" encoding="utf-8"?>
<ds:datastoreItem xmlns:ds="http://schemas.openxmlformats.org/officeDocument/2006/customXml" ds:itemID="{1BC28756-442F-40CE-8BA1-FBF83557DEFF}">
  <ds:schemaRefs/>
</ds:datastoreItem>
</file>

<file path=customXml/itemProps5.xml><?xml version="1.0" encoding="utf-8"?>
<ds:datastoreItem xmlns:ds="http://schemas.openxmlformats.org/officeDocument/2006/customXml" ds:itemID="{D81C3AAD-B668-478A-856F-3D2F205EF10B}">
  <ds:schemaRefs/>
</ds:datastoreItem>
</file>

<file path=customXml/itemProps6.xml><?xml version="1.0" encoding="utf-8"?>
<ds:datastoreItem xmlns:ds="http://schemas.openxmlformats.org/officeDocument/2006/customXml" ds:itemID="{36DFF0B8-FF85-4F8B-8EFD-D489A82A6086}">
  <ds:schemaRefs/>
</ds:datastoreItem>
</file>

<file path=customXml/itemProps7.xml><?xml version="1.0" encoding="utf-8"?>
<ds:datastoreItem xmlns:ds="http://schemas.openxmlformats.org/officeDocument/2006/customXml" ds:itemID="{3C3A0CE9-21AB-4BFB-93FD-ECE802926B8F}">
  <ds:schemaRefs/>
</ds:datastoreItem>
</file>

<file path=customXml/itemProps8.xml><?xml version="1.0" encoding="utf-8"?>
<ds:datastoreItem xmlns:ds="http://schemas.openxmlformats.org/officeDocument/2006/customXml" ds:itemID="{DF7F1340-EB0D-427B-9966-7D40F169C8DD}">
  <ds:schemaRefs/>
</ds:datastoreItem>
</file>

<file path=customXml/itemProps9.xml><?xml version="1.0" encoding="utf-8"?>
<ds:datastoreItem xmlns:ds="http://schemas.openxmlformats.org/officeDocument/2006/customXml" ds:itemID="{BCE0C629-BB93-4788-9679-178A85C39C69}">
  <ds:schemaRefs/>
</ds:datastoreItem>
</file>

<file path=customXml/itemProps10.xml><?xml version="1.0" encoding="utf-8"?>
<ds:datastoreItem xmlns:ds="http://schemas.openxmlformats.org/officeDocument/2006/customXml" ds:itemID="{0FBE933C-1F66-409E-93F8-76208538AD31}">
  <ds:schemaRefs/>
</ds:datastoreItem>
</file>

<file path=customXml/itemProps11.xml><?xml version="1.0" encoding="utf-8"?>
<ds:datastoreItem xmlns:ds="http://schemas.openxmlformats.org/officeDocument/2006/customXml" ds:itemID="{4B440441-D9A8-4F5C-AE35-B6178348A6BA}">
  <ds:schemaRefs/>
</ds:datastoreItem>
</file>

<file path=customXml/itemProps12.xml><?xml version="1.0" encoding="utf-8"?>
<ds:datastoreItem xmlns:ds="http://schemas.openxmlformats.org/officeDocument/2006/customXml" ds:itemID="{F9B5B3F3-A16D-4CCE-8E75-5EAA5864D7E0}">
  <ds:schemaRefs/>
</ds:datastoreItem>
</file>

<file path=customXml/itemProps13.xml><?xml version="1.0" encoding="utf-8"?>
<ds:datastoreItem xmlns:ds="http://schemas.openxmlformats.org/officeDocument/2006/customXml" ds:itemID="{00F4E7F1-9E32-4F5B-99E8-322266F8FAC3}">
  <ds:schemaRefs/>
</ds:datastoreItem>
</file>

<file path=customXml/itemProps14.xml><?xml version="1.0" encoding="utf-8"?>
<ds:datastoreItem xmlns:ds="http://schemas.openxmlformats.org/officeDocument/2006/customXml" ds:itemID="{A7583779-7502-435A-A4CC-13D2D1E390A4}">
  <ds:schemaRefs/>
</ds:datastoreItem>
</file>

<file path=customXml/itemProps15.xml><?xml version="1.0" encoding="utf-8"?>
<ds:datastoreItem xmlns:ds="http://schemas.openxmlformats.org/officeDocument/2006/customXml" ds:itemID="{7053C49E-F6BF-4F86-ABA9-2AD8B3AB4BAC}">
  <ds:schemaRefs/>
</ds:datastoreItem>
</file>

<file path=customXml/itemProps16.xml><?xml version="1.0" encoding="utf-8"?>
<ds:datastoreItem xmlns:ds="http://schemas.openxmlformats.org/officeDocument/2006/customXml" ds:itemID="{D5AE65A5-88E8-40B3-86EF-450ABA797C9E}">
  <ds:schemaRefs>
    <ds:schemaRef ds:uri="http://schemas.microsoft.com/DataMashup"/>
  </ds:schemaRefs>
</ds:datastoreItem>
</file>

<file path=customXml/itemProps17.xml><?xml version="1.0" encoding="utf-8"?>
<ds:datastoreItem xmlns:ds="http://schemas.openxmlformats.org/officeDocument/2006/customXml" ds:itemID="{ACDCC52B-9B2D-40FA-BFF0-6C071571E241}">
  <ds:schemaRefs/>
</ds:datastoreItem>
</file>

<file path=customXml/itemProps18.xml><?xml version="1.0" encoding="utf-8"?>
<ds:datastoreItem xmlns:ds="http://schemas.openxmlformats.org/officeDocument/2006/customXml" ds:itemID="{63672DEA-2CC1-45B2-90C6-8156E77CC681}">
  <ds:schemaRefs/>
</ds:datastoreItem>
</file>

<file path=customXml/itemProps19.xml><?xml version="1.0" encoding="utf-8"?>
<ds:datastoreItem xmlns:ds="http://schemas.openxmlformats.org/officeDocument/2006/customXml" ds:itemID="{BD47A938-2C5C-4A32-86D0-DDA5B2AC6647}">
  <ds:schemaRefs/>
</ds:datastoreItem>
</file>

<file path=customXml/itemProps20.xml><?xml version="1.0" encoding="utf-8"?>
<ds:datastoreItem xmlns:ds="http://schemas.openxmlformats.org/officeDocument/2006/customXml" ds:itemID="{489684C6-D07B-4986-A178-F7BE9C61902A}">
  <ds:schemaRefs/>
</ds:datastoreItem>
</file>

<file path=customXml/itemProps21.xml><?xml version="1.0" encoding="utf-8"?>
<ds:datastoreItem xmlns:ds="http://schemas.openxmlformats.org/officeDocument/2006/customXml" ds:itemID="{0F75D005-8A00-493E-921F-9108023189EB}">
  <ds:schemaRefs/>
</ds:datastoreItem>
</file>

<file path=customXml/itemProps22.xml><?xml version="1.0" encoding="utf-8"?>
<ds:datastoreItem xmlns:ds="http://schemas.openxmlformats.org/officeDocument/2006/customXml" ds:itemID="{70D1E649-547F-4F30-B52B-0A08DDD36F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Sales Raw Data</vt:lpstr>
      <vt:lpstr>Products</vt:lpstr>
      <vt:lpstr>Employess</vt:lpstr>
      <vt:lpstr>Customers</vt:lpstr>
      <vt:lpstr>Targets</vt:lpstr>
      <vt:lpstr>Returns</vt:lpstr>
      <vt:lpstr>Analysis</vt:lpstr>
      <vt:lpstr>PivotTables</vt:lpstr>
      <vt:lpstr>Dashboard</vt:lpstr>
      <vt:lpstr>Final Business Insights</vt:lpstr>
      <vt:lpstr>Project Documentation</vt:lpstr>
      <vt:lpstr>Sales Table</vt:lpstr>
      <vt:lpstr>Products (2)</vt:lpstr>
      <vt:lpstr>Customers (2)</vt:lpstr>
      <vt:lpstr>Targets (2)</vt:lpstr>
      <vt:lpstr>Returns (2)</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Palamani</dc:creator>
  <cp:lastModifiedBy>Venkatesh Palamani</cp:lastModifiedBy>
  <dcterms:created xsi:type="dcterms:W3CDTF">2026-09-14T15:15:49Z</dcterms:created>
  <dcterms:modified xsi:type="dcterms:W3CDTF">2026-09-21T06:55:04Z</dcterms:modified>
</cp:coreProperties>
</file>